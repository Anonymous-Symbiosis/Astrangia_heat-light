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defaultThemeVersion="202300"/>
  <mc:AlternateContent xmlns:mc="http://schemas.openxmlformats.org/markup-compatibility/2006">
    <mc:Choice Requires="x15">
      <x15ac:absPath xmlns:x15ac="http://schemas.microsoft.com/office/spreadsheetml/2010/11/ac" url="/Users/emma840605/Desktop/Apoculata/Apoculata_Finale/Manuscript/Draft 4/"/>
    </mc:Choice>
  </mc:AlternateContent>
  <xr:revisionPtr revIDLastSave="0" documentId="13_ncr:1_{2C335F9C-DE94-2642-9949-0B46F13449DA}" xr6:coauthVersionLast="47" xr6:coauthVersionMax="47" xr10:uidLastSave="{00000000-0000-0000-0000-000000000000}"/>
  <bookViews>
    <workbookView xWindow="0" yWindow="0" windowWidth="28800" windowHeight="18000" activeTab="11" xr2:uid="{FE277361-FDFC-4642-98E1-9259A2BEA81E}"/>
  </bookViews>
  <sheets>
    <sheet name="Supplementary Tables" sheetId="12" r:id="rId1"/>
    <sheet name="Table S1" sheetId="15" r:id="rId2"/>
    <sheet name="Table S2" sheetId="16" r:id="rId3"/>
    <sheet name="Table S3" sheetId="1" r:id="rId4"/>
    <sheet name="Table S4" sheetId="2" r:id="rId5"/>
    <sheet name="Table S5" sheetId="3" r:id="rId6"/>
    <sheet name="Table S6" sheetId="4" r:id="rId7"/>
    <sheet name="Table S7" sheetId="6" r:id="rId8"/>
    <sheet name="Table S8" sheetId="13" r:id="rId9"/>
    <sheet name="Table S9" sheetId="8" r:id="rId10"/>
    <sheet name="Table S10" sheetId="10" r:id="rId11"/>
    <sheet name="Table S11" sheetId="14" r:id="rId12"/>
    <sheet name="Table S12" sheetId="11"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0" i="15" l="1"/>
  <c r="I79" i="15"/>
  <c r="G79" i="15"/>
  <c r="J78" i="15"/>
  <c r="J77" i="15"/>
  <c r="J76" i="15"/>
  <c r="J75" i="15"/>
  <c r="J74" i="15"/>
  <c r="J73" i="15"/>
  <c r="J72" i="15"/>
  <c r="J71" i="15"/>
  <c r="J70" i="15"/>
  <c r="J69" i="15"/>
  <c r="J68" i="15"/>
  <c r="J67" i="15"/>
  <c r="J66" i="15"/>
  <c r="J65" i="15"/>
  <c r="J64" i="15"/>
  <c r="J63" i="15"/>
  <c r="J62" i="15"/>
  <c r="J61" i="15"/>
  <c r="J60" i="15"/>
  <c r="J59" i="15"/>
  <c r="J58" i="15"/>
  <c r="J57" i="15"/>
  <c r="J56" i="15"/>
  <c r="J55" i="15"/>
  <c r="J54" i="15"/>
  <c r="J53" i="15"/>
  <c r="J52" i="15"/>
  <c r="J51" i="15"/>
  <c r="J50" i="15"/>
  <c r="J49" i="15"/>
  <c r="J48" i="15"/>
  <c r="J47" i="15"/>
  <c r="J46" i="15"/>
  <c r="J45" i="15"/>
  <c r="J44" i="15"/>
  <c r="J43" i="15"/>
  <c r="J42" i="15"/>
  <c r="J41" i="15"/>
  <c r="J40" i="15"/>
  <c r="J39" i="15"/>
  <c r="J38" i="15"/>
  <c r="J37" i="15"/>
  <c r="J36" i="15"/>
  <c r="J35" i="15"/>
  <c r="J34" i="15"/>
  <c r="J33" i="15"/>
  <c r="J32" i="15"/>
  <c r="J31" i="15"/>
  <c r="J30" i="15"/>
  <c r="J29" i="15"/>
  <c r="J28" i="15"/>
  <c r="J27" i="15"/>
  <c r="J26" i="15"/>
  <c r="J25" i="15"/>
  <c r="J24" i="15"/>
  <c r="J23" i="15"/>
  <c r="J22" i="15"/>
  <c r="J21" i="15"/>
  <c r="J20" i="15"/>
  <c r="J19" i="15"/>
  <c r="J18" i="15"/>
  <c r="J17" i="15"/>
  <c r="J16" i="15"/>
  <c r="J15" i="15"/>
  <c r="J14" i="15"/>
  <c r="J13" i="15"/>
  <c r="J12" i="15"/>
  <c r="J11" i="15"/>
  <c r="J10" i="15"/>
  <c r="J9" i="15"/>
  <c r="J8" i="15"/>
  <c r="J7" i="15"/>
  <c r="J6" i="15"/>
  <c r="J5" i="15"/>
  <c r="J4" i="15"/>
  <c r="J3" i="15"/>
  <c r="J2" i="15"/>
  <c r="J80" i="15" s="1"/>
  <c r="J79" i="15" l="1"/>
</calcChain>
</file>

<file path=xl/sharedStrings.xml><?xml version="1.0" encoding="utf-8"?>
<sst xmlns="http://schemas.openxmlformats.org/spreadsheetml/2006/main" count="6540" uniqueCount="1675">
  <si>
    <t>delta.rank</t>
  </si>
  <si>
    <t>pval</t>
  </si>
  <si>
    <t>level</t>
  </si>
  <si>
    <t>nseqs</t>
  </si>
  <si>
    <t>term</t>
  </si>
  <si>
    <t>name</t>
  </si>
  <si>
    <t>p.adj</t>
  </si>
  <si>
    <t>GO:0000209</t>
  </si>
  <si>
    <t>protein polyubiquitination</t>
  </si>
  <si>
    <t>GO:0006457</t>
  </si>
  <si>
    <t>protein folding</t>
  </si>
  <si>
    <t>GO:0006950</t>
  </si>
  <si>
    <t>response to stress</t>
  </si>
  <si>
    <t>GO:0006952</t>
  </si>
  <si>
    <t>defense response</t>
  </si>
  <si>
    <t>GO:0009605</t>
  </si>
  <si>
    <t>response to external stimulus</t>
  </si>
  <si>
    <t>GO:0009615</t>
  </si>
  <si>
    <t>response to virus</t>
  </si>
  <si>
    <t>GO:0010468</t>
  </si>
  <si>
    <t>regulation of gene expression</t>
  </si>
  <si>
    <t>GO:0010604;GO:0031325;GO:0009893;GO:0051173</t>
  </si>
  <si>
    <t>positive regulation of metabolic process</t>
  </si>
  <si>
    <t>GO:0030970;GO:0032527;GO:1903513</t>
  </si>
  <si>
    <t>protein exit from endoplasmic reticulum</t>
  </si>
  <si>
    <t>GO:0032728</t>
  </si>
  <si>
    <t>positive regulation of interferon-beta production</t>
  </si>
  <si>
    <t>GO:0035458;GO:0035456</t>
  </si>
  <si>
    <t>response to interferon-beta</t>
  </si>
  <si>
    <t>GO:0043207;GO:0009607;GO:0044419</t>
  </si>
  <si>
    <t>response to biotic stimulus</t>
  </si>
  <si>
    <t>GO:0045732</t>
  </si>
  <si>
    <t>positive regulation of protein catabolic process</t>
  </si>
  <si>
    <t>GO:0051607;GO:0140546</t>
  </si>
  <si>
    <t>defense response to virus</t>
  </si>
  <si>
    <t>GO:0060333</t>
  </si>
  <si>
    <t>interferon-gamma-mediated signaling pathway</t>
  </si>
  <si>
    <t>GO:0098542;GO:0051707</t>
  </si>
  <si>
    <t>response to other organism</t>
  </si>
  <si>
    <t>GO:1903050;GO:1903362</t>
  </si>
  <si>
    <t>regulation of cellular protein catabolic process</t>
  </si>
  <si>
    <t>goDivision</t>
  </si>
  <si>
    <t>BP</t>
  </si>
  <si>
    <t>#goDivision = the division the GO term is from (BP=Biological Process; MF = Moleular Function; CC = Cellular Compnent)</t>
  </si>
  <si>
    <t>#p.adj =  p-value adjusted for multiple testing (Benjamini–Hochberg procedure)</t>
  </si>
  <si>
    <t>#delta.rank = These are all zero here because Fisher's exact test, rather than the Mann-Whiteney U test were used for module enrichment</t>
  </si>
  <si>
    <t>#pval = the raw p-value for the GO terms enrichment</t>
  </si>
  <si>
    <t>#nseqs = the number of genes in the dataset annotated with the GO term</t>
  </si>
  <si>
    <t>#term = the GO term accession</t>
  </si>
  <si>
    <t>#name = the descriptive name of the GO term</t>
  </si>
  <si>
    <t>degDirection</t>
  </si>
  <si>
    <t>up</t>
  </si>
  <si>
    <t>#degDirection = direction of differential gene expression  (up=upregulation; down =downregulation)</t>
  </si>
  <si>
    <r>
      <t xml:space="preserve">#GO enrichment for DEGs unique to brown </t>
    </r>
    <r>
      <rPr>
        <i/>
        <sz val="12"/>
        <color theme="1"/>
        <rFont val="Aptos Narrow"/>
        <scheme val="minor"/>
      </rPr>
      <t xml:space="preserve">A.poculata </t>
    </r>
    <r>
      <rPr>
        <sz val="12"/>
        <color theme="1"/>
        <rFont val="Aptos Narrow"/>
        <family val="2"/>
        <scheme val="minor"/>
      </rPr>
      <t>(heated, control light)</t>
    </r>
  </si>
  <si>
    <t>GO:0001961;GO:0060760</t>
  </si>
  <si>
    <t>positive regulation of response to cytokine stimulus</t>
  </si>
  <si>
    <t>GO:0002376</t>
  </si>
  <si>
    <t>immune system process</t>
  </si>
  <si>
    <t>GO:0002478;GO:0019884</t>
  </si>
  <si>
    <t>antigen processing and presentation of exogenous antigen</t>
  </si>
  <si>
    <t>GO:0006325;GO:0006338</t>
  </si>
  <si>
    <t>chromatin organization</t>
  </si>
  <si>
    <t>GO:0006351;GO:0097659;GO:0032774</t>
  </si>
  <si>
    <t>RNA biosynthetic process</t>
  </si>
  <si>
    <t>GO:0006355;GO:1903506;GO:2001141;GO:0010556;GO:0031326;GO:0051252;GO:0009889;GO:0019219</t>
  </si>
  <si>
    <t>regulation of biosynthetic process</t>
  </si>
  <si>
    <t>GO:0006357</t>
  </si>
  <si>
    <t>regulation of transcription by RNA polymerase II</t>
  </si>
  <si>
    <t>GO:0006886</t>
  </si>
  <si>
    <t>intracellular protein transport</t>
  </si>
  <si>
    <t>GO:0006913;GO:0051169</t>
  </si>
  <si>
    <t>nucleocytoplasmic transport</t>
  </si>
  <si>
    <t>GO:0010558;GO:0031327;GO:0009890</t>
  </si>
  <si>
    <t>negative regulation of biosynthetic process</t>
  </si>
  <si>
    <t>GO:0010605;GO:0031324;GO:0009892;GO:0051172</t>
  </si>
  <si>
    <t>negative regulation of metabolic process</t>
  </si>
  <si>
    <t>GO:0010629</t>
  </si>
  <si>
    <t>negative regulation of gene expression</t>
  </si>
  <si>
    <t>GO:0015931</t>
  </si>
  <si>
    <t>nucleobase-containing compound transport</t>
  </si>
  <si>
    <t>GO:0016070</t>
  </si>
  <si>
    <t>RNA metabolic process</t>
  </si>
  <si>
    <t>GO:0032507</t>
  </si>
  <si>
    <t>maintenance of protein location in cell</t>
  </si>
  <si>
    <t>GO:0034097</t>
  </si>
  <si>
    <t>response to cytokine</t>
  </si>
  <si>
    <t>GO:0034504</t>
  </si>
  <si>
    <t>protein localization to nucleus</t>
  </si>
  <si>
    <t>GO:0045892;GO:1903507;GO:1902679;GO:0051253;GO:0045934</t>
  </si>
  <si>
    <t>negative regulation of nucleobase-containing compound metabolic process</t>
  </si>
  <si>
    <t>GO:0046822</t>
  </si>
  <si>
    <t>regulation of nucleocytoplasmic transport</t>
  </si>
  <si>
    <t>GO:0046907</t>
  </si>
  <si>
    <t>intracellular transport</t>
  </si>
  <si>
    <t>GO:0048523</t>
  </si>
  <si>
    <t>negative regulation of cellular process</t>
  </si>
  <si>
    <t>GO:0051028;GO:0050658;GO:0050657;GO:0051236</t>
  </si>
  <si>
    <t>RNA transport</t>
  </si>
  <si>
    <t>GO:0051716</t>
  </si>
  <si>
    <t>cellular response to stimulus</t>
  </si>
  <si>
    <t>GO:0071103</t>
  </si>
  <si>
    <t>DNA conformation change</t>
  </si>
  <si>
    <t>GO:1903312</t>
  </si>
  <si>
    <t>negative regulation of mRNA metabolic process</t>
  </si>
  <si>
    <t>GO:2000112</t>
  </si>
  <si>
    <t>regulation of cellular macromolecule biosynthetic process</t>
  </si>
  <si>
    <r>
      <t xml:space="preserve">#GO enrichment for DEGs shared by white and brown </t>
    </r>
    <r>
      <rPr>
        <i/>
        <sz val="12"/>
        <color theme="1"/>
        <rFont val="Aptos Narrow"/>
        <scheme val="minor"/>
      </rPr>
      <t>A.poculata</t>
    </r>
    <r>
      <rPr>
        <sz val="12"/>
        <color theme="1"/>
        <rFont val="Aptos Narrow"/>
        <family val="2"/>
        <scheme val="minor"/>
      </rPr>
      <t xml:space="preserve"> (heated, control light)</t>
    </r>
  </si>
  <si>
    <r>
      <t xml:space="preserve">#GO enrichment for DEGs shared by white and brown </t>
    </r>
    <r>
      <rPr>
        <i/>
        <sz val="12"/>
        <color theme="1"/>
        <rFont val="Aptos Narrow"/>
        <scheme val="minor"/>
      </rPr>
      <t>A.poculata</t>
    </r>
    <r>
      <rPr>
        <sz val="12"/>
        <color theme="1"/>
        <rFont val="Aptos Narrow"/>
        <family val="2"/>
        <scheme val="minor"/>
      </rPr>
      <t xml:space="preserve"> (heated, high light)</t>
    </r>
  </si>
  <si>
    <t>GO:0000122</t>
  </si>
  <si>
    <t>negative regulation of transcription by RNA polymerase II</t>
  </si>
  <si>
    <t>GO:0000395</t>
  </si>
  <si>
    <t>mRNA 5'-splice site recognition</t>
  </si>
  <si>
    <t>GO:0000398;GO:0000377;GO:0000375</t>
  </si>
  <si>
    <t>RNA splicing, via transesterification reactions</t>
  </si>
  <si>
    <t>GO:0001817</t>
  </si>
  <si>
    <t>regulation of cytokine production</t>
  </si>
  <si>
    <t>GO:0002831</t>
  </si>
  <si>
    <t>regulation of response to biotic stimulus</t>
  </si>
  <si>
    <t>GO:0003341</t>
  </si>
  <si>
    <t>cilium movement</t>
  </si>
  <si>
    <t>GO:0006261</t>
  </si>
  <si>
    <t>DNA-dependent DNA replication</t>
  </si>
  <si>
    <t>GO:0006369</t>
  </si>
  <si>
    <t>termination of RNA polymerase II transcription</t>
  </si>
  <si>
    <t>GO:0006396</t>
  </si>
  <si>
    <t>RNA processing</t>
  </si>
  <si>
    <t>GO:0006397;GO:0008380</t>
  </si>
  <si>
    <t>mRNA processing</t>
  </si>
  <si>
    <t>GO:0006406;GO:0006405</t>
  </si>
  <si>
    <t>RNA export from nucleus</t>
  </si>
  <si>
    <t>GO:0006915;GO:0012501;GO:0008219</t>
  </si>
  <si>
    <t>cell death</t>
  </si>
  <si>
    <t>GO:0006928</t>
  </si>
  <si>
    <t>movement of cell or subcellular component</t>
  </si>
  <si>
    <t>GO:0006955</t>
  </si>
  <si>
    <t>immune response</t>
  </si>
  <si>
    <t>GO:0006970</t>
  </si>
  <si>
    <t>response to osmotic stress</t>
  </si>
  <si>
    <t>GO:0006974;GO:0006281</t>
  </si>
  <si>
    <t>cellular response to DNA damage stimulus</t>
  </si>
  <si>
    <t>GO:0006996</t>
  </si>
  <si>
    <t>organelle organization</t>
  </si>
  <si>
    <t>GO:0007017</t>
  </si>
  <si>
    <t>microtubule-based process</t>
  </si>
  <si>
    <t>GO:0007018</t>
  </si>
  <si>
    <t>microtubule-based movement</t>
  </si>
  <si>
    <t>GO:0007034</t>
  </si>
  <si>
    <t>vacuolar transport</t>
  </si>
  <si>
    <t>GO:0007049</t>
  </si>
  <si>
    <t>cell cycle</t>
  </si>
  <si>
    <t>GO:0007062</t>
  </si>
  <si>
    <t>sister chromatid cohesion</t>
  </si>
  <si>
    <t>GO:0007249</t>
  </si>
  <si>
    <t>I-kappaB kinase/NF-kappaB signaling</t>
  </si>
  <si>
    <t>GO:0007303</t>
  </si>
  <si>
    <t>cytoplasmic transport, nurse cell to oocyte</t>
  </si>
  <si>
    <t>GO:0007346</t>
  </si>
  <si>
    <t>regulation of mitotic cell cycle</t>
  </si>
  <si>
    <t>GO:0009151;GO:0009215</t>
  </si>
  <si>
    <t>purine deoxyribonucleotide metabolic process</t>
  </si>
  <si>
    <t>GO:0009186</t>
  </si>
  <si>
    <t>deoxyribonucleoside diphosphate metabolic process</t>
  </si>
  <si>
    <t>GO:0009200</t>
  </si>
  <si>
    <t>deoxyribonucleoside triphosphate metabolic process</t>
  </si>
  <si>
    <t>GO:0009202</t>
  </si>
  <si>
    <t>deoxyribonucleoside triphosphate biosynthetic process</t>
  </si>
  <si>
    <t>GO:0009394;GO:0019692</t>
  </si>
  <si>
    <t>deoxyribose phosphate metabolic process</t>
  </si>
  <si>
    <t>GO:0010564</t>
  </si>
  <si>
    <t>regulation of cell cycle process</t>
  </si>
  <si>
    <t>GO:0015949</t>
  </si>
  <si>
    <t>nucleobase-containing small molecule interconversion</t>
  </si>
  <si>
    <t>GO:0016071</t>
  </si>
  <si>
    <t>mRNA metabolic process</t>
  </si>
  <si>
    <t>GO:0018130;GO:0019438;GO:0044271;GO:1901362;GO:0034654;GO:0009059</t>
  </si>
  <si>
    <t>cellular nitrogen compound biosynthetic process</t>
  </si>
  <si>
    <t>GO:0018193</t>
  </si>
  <si>
    <t>peptidyl-amino acid modification</t>
  </si>
  <si>
    <t>GO:0021785</t>
  </si>
  <si>
    <t>branchiomotor neuron axon guidance</t>
  </si>
  <si>
    <t>GO:0022402</t>
  </si>
  <si>
    <t>cell cycle process</t>
  </si>
  <si>
    <t>GO:0022412</t>
  </si>
  <si>
    <t>cellular process involved in reproduction in multicellular organism</t>
  </si>
  <si>
    <t>GO:0022414</t>
  </si>
  <si>
    <t>reproductive process</t>
  </si>
  <si>
    <t>GO:0022607</t>
  </si>
  <si>
    <t>cellular component assembly</t>
  </si>
  <si>
    <t>GO:0022618;GO:0071826</t>
  </si>
  <si>
    <t>ribonucleoprotein complex assembly</t>
  </si>
  <si>
    <t>GO:0030330</t>
  </si>
  <si>
    <t>DNA damage response, signal transduction by p53 class mediator</t>
  </si>
  <si>
    <t>GO:0030522</t>
  </si>
  <si>
    <t>intracellular receptor signaling pathway</t>
  </si>
  <si>
    <t>GO:0030833;GO:0008064;GO:0032271;GO:0030832</t>
  </si>
  <si>
    <t>regulation of protein polymerization</t>
  </si>
  <si>
    <t>GO:0031124</t>
  </si>
  <si>
    <t>mRNA 3'-end processing</t>
  </si>
  <si>
    <t>GO:0031333</t>
  </si>
  <si>
    <t>negative regulation of protein-containing complex assembly</t>
  </si>
  <si>
    <t>GO:0031503</t>
  </si>
  <si>
    <t>protein-containing complex localization</t>
  </si>
  <si>
    <t>GO:0031629;GO:0048499;GO:0099500</t>
  </si>
  <si>
    <t>synaptic vesicle membrane organization</t>
  </si>
  <si>
    <t>GO:0031647</t>
  </si>
  <si>
    <t>regulation of protein stability</t>
  </si>
  <si>
    <t>GO:0032268;GO:0051246</t>
  </si>
  <si>
    <t>regulation of protein metabolic process</t>
  </si>
  <si>
    <t>GO:0032269;GO:0051248</t>
  </si>
  <si>
    <t>negative regulation of protein metabolic process</t>
  </si>
  <si>
    <t>GO:0032270;GO:0051247</t>
  </si>
  <si>
    <t>positive regulation of protein metabolic process</t>
  </si>
  <si>
    <t>GO:0032479</t>
  </si>
  <si>
    <t>regulation of type I interferon production</t>
  </si>
  <si>
    <t>GO:0032480</t>
  </si>
  <si>
    <t>negative regulation of type I interferon production</t>
  </si>
  <si>
    <t>GO:0032956;GO:0032970</t>
  </si>
  <si>
    <t>regulation of actin filament-based process</t>
  </si>
  <si>
    <t>GO:0033043</t>
  </si>
  <si>
    <t>regulation of organelle organization</t>
  </si>
  <si>
    <t>GO:0033119;GO:0050686;GO:0048025</t>
  </si>
  <si>
    <t>negative regulation of mRNA processing</t>
  </si>
  <si>
    <t>GO:0033554</t>
  </si>
  <si>
    <t>cellular response to stress</t>
  </si>
  <si>
    <t>GO:0035556</t>
  </si>
  <si>
    <t>intracellular signal transduction</t>
  </si>
  <si>
    <t>GO:0035825</t>
  </si>
  <si>
    <t>homologous recombination</t>
  </si>
  <si>
    <t>GO:0042770;GO:0000077;GO:0031570</t>
  </si>
  <si>
    <t>signal transduction in response to DNA damage</t>
  </si>
  <si>
    <t>GO:0042981;GO:0043067;GO:0010941</t>
  </si>
  <si>
    <t>regulation of cell death</t>
  </si>
  <si>
    <t>GO:0043484</t>
  </si>
  <si>
    <t>regulation of RNA splicing</t>
  </si>
  <si>
    <t>GO:0044249;GO:1901576;GO:0009058</t>
  </si>
  <si>
    <t>biosynthetic process</t>
  </si>
  <si>
    <t>GO:0044773;GO:0044774</t>
  </si>
  <si>
    <t>mitotic DNA integrity checkpoint signaling</t>
  </si>
  <si>
    <t>GO:0045786;GO:0010948</t>
  </si>
  <si>
    <t>negative regulation of cell cycle</t>
  </si>
  <si>
    <t>GO:0045824;GO:0002832</t>
  </si>
  <si>
    <t>negative regulation of response to biotic stimulus</t>
  </si>
  <si>
    <t>GO:0045893;GO:1903508;GO:1902680;GO:0010557;GO:0031328;GO:0051254;GO:0009891;GO:0045935</t>
  </si>
  <si>
    <t>positive regulation of nucleobase-containing compound metabolic process</t>
  </si>
  <si>
    <t>GO:0045930;GO:1901988</t>
  </si>
  <si>
    <t>negative regulation of cell cycle phase transition</t>
  </si>
  <si>
    <t>GO:0045944</t>
  </si>
  <si>
    <t>positive regulation of transcription by RNA polymerase II</t>
  </si>
  <si>
    <t>GO:0046824</t>
  </si>
  <si>
    <t>positive regulation of nucleocytoplasmic transport</t>
  </si>
  <si>
    <t>GO:0048024;GO:0050684</t>
  </si>
  <si>
    <t>regulation of mRNA processing</t>
  </si>
  <si>
    <t>GO:0048513</t>
  </si>
  <si>
    <t>animal organ development</t>
  </si>
  <si>
    <t>GO:0050688</t>
  </si>
  <si>
    <t>regulation of defense response to virus</t>
  </si>
  <si>
    <t>GO:0050793</t>
  </si>
  <si>
    <t>regulation of developmental process</t>
  </si>
  <si>
    <t>GO:0051093</t>
  </si>
  <si>
    <t>negative regulation of developmental process</t>
  </si>
  <si>
    <t>GO:0051101</t>
  </si>
  <si>
    <t>regulation of DNA binding</t>
  </si>
  <si>
    <t>GO:0051129</t>
  </si>
  <si>
    <t>negative regulation of cellular component organization</t>
  </si>
  <si>
    <t>GO:0051168</t>
  </si>
  <si>
    <t>nuclear export</t>
  </si>
  <si>
    <t>GO:0051276</t>
  </si>
  <si>
    <t>chromosome organization</t>
  </si>
  <si>
    <t>GO:0051321</t>
  </si>
  <si>
    <t>meiotic cell cycle</t>
  </si>
  <si>
    <t>GO:0051493</t>
  </si>
  <si>
    <t>regulation of cytoskeleton organization</t>
  </si>
  <si>
    <t>GO:0051641</t>
  </si>
  <si>
    <t>cellular localization</t>
  </si>
  <si>
    <t>GO:0051649</t>
  </si>
  <si>
    <t>establishment of localization in cell</t>
  </si>
  <si>
    <t>GO:0051726</t>
  </si>
  <si>
    <t>regulation of cell cycle</t>
  </si>
  <si>
    <t>GO:0061982</t>
  </si>
  <si>
    <t>meiosis I cell cycle process</t>
  </si>
  <si>
    <t>GO:0065003;GO:0043933</t>
  </si>
  <si>
    <t>protein-containing complex organization</t>
  </si>
  <si>
    <t>GO:0065009;GO:0050790</t>
  </si>
  <si>
    <t>regulation of molecular function</t>
  </si>
  <si>
    <t>GO:0072423;GO:0072402;GO:0072396</t>
  </si>
  <si>
    <t>response to cell cycle checkpoint signaling</t>
  </si>
  <si>
    <t>GO:0072666;GO:0072665</t>
  </si>
  <si>
    <t>protein localization to vacuole</t>
  </si>
  <si>
    <t>GO:0099111</t>
  </si>
  <si>
    <t>microtubule-based transport</t>
  </si>
  <si>
    <t>GO:0110053</t>
  </si>
  <si>
    <t>regulation of actin filament organization</t>
  </si>
  <si>
    <t>GO:1900180</t>
  </si>
  <si>
    <t>regulation of protein localization to nucleus</t>
  </si>
  <si>
    <t>GO:1900182</t>
  </si>
  <si>
    <t>positive regulation of protein localization to nucleus</t>
  </si>
  <si>
    <t>GO:1901987</t>
  </si>
  <si>
    <t>regulation of cell cycle phase transition</t>
  </si>
  <si>
    <t>GO:1901990</t>
  </si>
  <si>
    <t>regulation of mitotic cell cycle phase transition</t>
  </si>
  <si>
    <t>GO:1901991</t>
  </si>
  <si>
    <t>negative regulation of mitotic cell cycle phase transition</t>
  </si>
  <si>
    <t>GO:1903047</t>
  </si>
  <si>
    <t>mitotic cell cycle process</t>
  </si>
  <si>
    <t>GO:1903311</t>
  </si>
  <si>
    <t>regulation of mRNA metabolic process</t>
  </si>
  <si>
    <t>GO:1903587;GO:1903588</t>
  </si>
  <si>
    <t>regulation of blood vessel endothelial cell proliferation involved in sprouting angiogenesis</t>
  </si>
  <si>
    <t>GO:2000026</t>
  </si>
  <si>
    <t>regulation of multicellular organismal development</t>
  </si>
  <si>
    <r>
      <t xml:space="preserve">#GO enrichment for DEGs unique to white </t>
    </r>
    <r>
      <rPr>
        <i/>
        <sz val="12"/>
        <color theme="1"/>
        <rFont val="Aptos Narrow"/>
        <scheme val="minor"/>
      </rPr>
      <t xml:space="preserve">A.poculata </t>
    </r>
    <r>
      <rPr>
        <sz val="12"/>
        <color theme="1"/>
        <rFont val="Aptos Narrow"/>
        <family val="2"/>
        <scheme val="minor"/>
      </rPr>
      <t>(heated, high light)</t>
    </r>
  </si>
  <si>
    <t>GO:0000724;GO:0000725</t>
  </si>
  <si>
    <t>recombinational repair</t>
  </si>
  <si>
    <t>GO:0006302</t>
  </si>
  <si>
    <t>double-strand break repair</t>
  </si>
  <si>
    <t>GO:0006364;GO:0016072</t>
  </si>
  <si>
    <t>rRNA metabolic process</t>
  </si>
  <si>
    <t>GO:0015986;GO:0015985;GO:1902600</t>
  </si>
  <si>
    <t>ATP synthesis coupled proton transport</t>
  </si>
  <si>
    <t>GO:0034470</t>
  </si>
  <si>
    <t>ncRNA processing</t>
  </si>
  <si>
    <t>GO:0034660</t>
  </si>
  <si>
    <t>ncRNA metabolic process</t>
  </si>
  <si>
    <t>GO:0036490;GO:0032056</t>
  </si>
  <si>
    <t>positive regulation of translation in response to stress</t>
  </si>
  <si>
    <t>GO:0039694;GO:0019079</t>
  </si>
  <si>
    <t>viral genome replication</t>
  </si>
  <si>
    <t>GO:0043555</t>
  </si>
  <si>
    <t>regulation of translation in response to stress</t>
  </si>
  <si>
    <t>GO:0045454</t>
  </si>
  <si>
    <t>cell redox homeostasis</t>
  </si>
  <si>
    <t>GO:0045943</t>
  </si>
  <si>
    <t>positive regulation of transcription by RNA polymerase I</t>
  </si>
  <si>
    <t>GO:0061077</t>
  </si>
  <si>
    <t>chaperone-mediated protein folding</t>
  </si>
  <si>
    <t>GO:0061311</t>
  </si>
  <si>
    <t>cell surface receptor signaling pathway involved in heart development</t>
  </si>
  <si>
    <t>down</t>
  </si>
  <si>
    <r>
      <t xml:space="preserve">#GO enrichment for DEGs unique to brown </t>
    </r>
    <r>
      <rPr>
        <i/>
        <sz val="12"/>
        <color theme="1"/>
        <rFont val="Aptos Narrow"/>
        <scheme val="minor"/>
      </rPr>
      <t xml:space="preserve">A.poculata </t>
    </r>
    <r>
      <rPr>
        <sz val="12"/>
        <color theme="1"/>
        <rFont val="Aptos Narrow"/>
        <family val="2"/>
        <scheme val="minor"/>
      </rPr>
      <t>(heated, high light)</t>
    </r>
  </si>
  <si>
    <t>GO:0000018</t>
  </si>
  <si>
    <t>regulation of DNA recombination</t>
  </si>
  <si>
    <t>GO:0000054;GO:0033750</t>
  </si>
  <si>
    <t>ribosomal subunit export from nucleus</t>
  </si>
  <si>
    <t>GO:0000055</t>
  </si>
  <si>
    <t>ribosomal large subunit export from nucleus</t>
  </si>
  <si>
    <t>GO:0000056</t>
  </si>
  <si>
    <t>ribosomal small subunit export from nucleus</t>
  </si>
  <si>
    <t>GO:0000959</t>
  </si>
  <si>
    <t>mitochondrial RNA metabolic process</t>
  </si>
  <si>
    <t>GO:0001932;GO:0042325;GO:0019220;GO:0051174;GO:0031399</t>
  </si>
  <si>
    <t>regulation of phosphate metabolic process</t>
  </si>
  <si>
    <t>GO:0002639;GO:0045830</t>
  </si>
  <si>
    <t>positive regulation of immunoglobulin production</t>
  </si>
  <si>
    <t>GO:0003006</t>
  </si>
  <si>
    <t>developmental process involved in reproduction</t>
  </si>
  <si>
    <t>GO:0006282</t>
  </si>
  <si>
    <t>regulation of DNA repair</t>
  </si>
  <si>
    <t>GO:0006311;GO:0035822</t>
  </si>
  <si>
    <t>gene conversion</t>
  </si>
  <si>
    <t>GO:0006417;GO:0010608;GO:0034248</t>
  </si>
  <si>
    <t>posttranscriptional regulation of gene expression</t>
  </si>
  <si>
    <t>GO:0006464;GO:0036211;GO:0044267;GO:0043412</t>
  </si>
  <si>
    <t>cellular protein metabolic process</t>
  </si>
  <si>
    <t>GO:0006511;GO:0019941;GO:0051603;GO:0043632</t>
  </si>
  <si>
    <t>proteolysis involved in cellular protein catabolic process</t>
  </si>
  <si>
    <t>nuclear transport</t>
  </si>
  <si>
    <t>GO:0007093;GO:0000075</t>
  </si>
  <si>
    <t>cell cycle checkpoint signaling</t>
  </si>
  <si>
    <t>GO:0007099;GO:0098534</t>
  </si>
  <si>
    <t>centriole assembly</t>
  </si>
  <si>
    <t>GO:0008104;GO:0033036</t>
  </si>
  <si>
    <t>macromolecule localization</t>
  </si>
  <si>
    <t>GO:0010520</t>
  </si>
  <si>
    <t>regulation of reciprocal meiotic recombination</t>
  </si>
  <si>
    <t>GO:0010923;GO:0035305</t>
  </si>
  <si>
    <t>negative regulation of dephosphorylation</t>
  </si>
  <si>
    <t>GO:0016567;GO:0032446;GO:0070647</t>
  </si>
  <si>
    <t>protein modification by small protein conjugation or removal</t>
  </si>
  <si>
    <t>GO:0016579;GO:0070646</t>
  </si>
  <si>
    <t>protein modification by small protein removal</t>
  </si>
  <si>
    <t>GO:0016925</t>
  </si>
  <si>
    <t>protein sumoylation</t>
  </si>
  <si>
    <t>GO:0019538</t>
  </si>
  <si>
    <t>protein metabolic process</t>
  </si>
  <si>
    <t>GO:0022613;GO:0044085</t>
  </si>
  <si>
    <t>cellular component biogenesis</t>
  </si>
  <si>
    <t>GO:0030101</t>
  </si>
  <si>
    <t>natural killer cell activation</t>
  </si>
  <si>
    <t>GO:0031329;GO:0009894</t>
  </si>
  <si>
    <t>regulation of catabolic process</t>
  </si>
  <si>
    <t>GO:0032386</t>
  </si>
  <si>
    <t>regulation of intracellular transport</t>
  </si>
  <si>
    <t>GO:0033044</t>
  </si>
  <si>
    <t>regulation of chromosome organization</t>
  </si>
  <si>
    <t>GO:0033365</t>
  </si>
  <si>
    <t>protein localization to organelle</t>
  </si>
  <si>
    <t>GO:0034613;GO:0070727</t>
  </si>
  <si>
    <t>cellular macromolecule localization</t>
  </si>
  <si>
    <t>GO:0034645</t>
  </si>
  <si>
    <t>cellular macromolecule biosynthetic process</t>
  </si>
  <si>
    <t>GO:0042176</t>
  </si>
  <si>
    <t>regulation of protein catabolic process</t>
  </si>
  <si>
    <t>GO:0042254</t>
  </si>
  <si>
    <t>ribosome biogenesis</t>
  </si>
  <si>
    <t>GO:0043457</t>
  </si>
  <si>
    <t>regulation of cellular respiration</t>
  </si>
  <si>
    <t>GO:0045191;GO:0002637</t>
  </si>
  <si>
    <t>regulation of immunoglobulin production</t>
  </si>
  <si>
    <t>GO:0045739</t>
  </si>
  <si>
    <t>positive regulation of DNA repair</t>
  </si>
  <si>
    <t>GO:0045787</t>
  </si>
  <si>
    <t>positive regulation of cell cycle</t>
  </si>
  <si>
    <t>GO:0045839;GO:0051784</t>
  </si>
  <si>
    <t>negative regulation of nuclear division</t>
  </si>
  <si>
    <t>GO:0045911</t>
  </si>
  <si>
    <t>positive regulation of DNA recombination</t>
  </si>
  <si>
    <t>GO:0045936;GO:0010563;GO:0031400</t>
  </si>
  <si>
    <t>negative regulation of protein modification process</t>
  </si>
  <si>
    <t>GO:0046602</t>
  </si>
  <si>
    <t>regulation of mitotic centrosome separation</t>
  </si>
  <si>
    <t>GO:0046649</t>
  </si>
  <si>
    <t>lymphocyte activation</t>
  </si>
  <si>
    <t>GO:0048583;GO:0010646;GO:0023051;GO:0009966</t>
  </si>
  <si>
    <t>regulation of response to stimulus</t>
  </si>
  <si>
    <t>GO:0048608</t>
  </si>
  <si>
    <t>reproductive structure development</t>
  </si>
  <si>
    <t>establishment of RNA localization</t>
  </si>
  <si>
    <t>GO:0051052</t>
  </si>
  <si>
    <t>regulation of DNA metabolic process</t>
  </si>
  <si>
    <t>GO:0051054</t>
  </si>
  <si>
    <t>positive regulation of DNA metabolic process</t>
  </si>
  <si>
    <t>GO:0051128</t>
  </si>
  <si>
    <t>regulation of cellular component organization</t>
  </si>
  <si>
    <t>GO:0051640</t>
  </si>
  <si>
    <t>organelle localization</t>
  </si>
  <si>
    <t>GO:0051783;GO:0007088</t>
  </si>
  <si>
    <t>regulation of nuclear division</t>
  </si>
  <si>
    <t>GO:0060341</t>
  </si>
  <si>
    <t>regulation of cellular localization</t>
  </si>
  <si>
    <t>GO:0071108</t>
  </si>
  <si>
    <t>protein K48-linked deubiquitination</t>
  </si>
  <si>
    <t>GO:0080135</t>
  </si>
  <si>
    <t>regulation of cellular response to stress</t>
  </si>
  <si>
    <t>GO:0090068</t>
  </si>
  <si>
    <t>positive regulation of cell cycle process</t>
  </si>
  <si>
    <t>GO:0090316;GO:0032388;GO:0033157</t>
  </si>
  <si>
    <t>regulation of intracellular protein transport</t>
  </si>
  <si>
    <t>GO:1901576;GO:0044249;GO:0009058</t>
  </si>
  <si>
    <t>GO:1903046</t>
  </si>
  <si>
    <t>meiotic cell cycle process</t>
  </si>
  <si>
    <t>GO:2000779</t>
  </si>
  <si>
    <t>regulation of double-strand break repair</t>
  </si>
  <si>
    <t>GO:2001020</t>
  </si>
  <si>
    <t>regulation of response to DNA damage stimulus</t>
  </si>
  <si>
    <t>GO:2001022</t>
  </si>
  <si>
    <t>positive regulation of response to DNA damage stimulus</t>
  </si>
  <si>
    <t>GO:0000272</t>
  </si>
  <si>
    <t>polysaccharide catabolic process</t>
  </si>
  <si>
    <t>GO:0001501</t>
  </si>
  <si>
    <t>skeletal system development</t>
  </si>
  <si>
    <t>GO:0005976</t>
  </si>
  <si>
    <t>polysaccharide metabolic process</t>
  </si>
  <si>
    <t>GO:0006022</t>
  </si>
  <si>
    <t>aminoglycan metabolic process</t>
  </si>
  <si>
    <t>GO:0006026</t>
  </si>
  <si>
    <t>aminoglycan catabolic process</t>
  </si>
  <si>
    <t>GO:0006040;GO:1901071</t>
  </si>
  <si>
    <t>amino sugar metabolic process</t>
  </si>
  <si>
    <t>GO:0006412;GO:0043043</t>
  </si>
  <si>
    <t>peptide biosynthetic process</t>
  </si>
  <si>
    <t>GO:0006413</t>
  </si>
  <si>
    <t>translational initiation</t>
  </si>
  <si>
    <t>GO:0006518</t>
  </si>
  <si>
    <t>peptide metabolic process</t>
  </si>
  <si>
    <t>GO:0006869</t>
  </si>
  <si>
    <t>lipid transport</t>
  </si>
  <si>
    <t>GO:0007158</t>
  </si>
  <si>
    <t>neuron cell-cell adhesion</t>
  </si>
  <si>
    <t>GO:0007586</t>
  </si>
  <si>
    <t>digestion</t>
  </si>
  <si>
    <t>GO:0009887</t>
  </si>
  <si>
    <t>animal organ morphogenesis</t>
  </si>
  <si>
    <t>GO:0010669</t>
  </si>
  <si>
    <t>epithelial structure maintenance</t>
  </si>
  <si>
    <t>GO:0016052</t>
  </si>
  <si>
    <t>carbohydrate catabolic process</t>
  </si>
  <si>
    <t>GO:0030198;GO:0043062;GO:0045229</t>
  </si>
  <si>
    <t>external encapsulating structure organization</t>
  </si>
  <si>
    <t>GO:0030199</t>
  </si>
  <si>
    <t>collagen fibril organization</t>
  </si>
  <si>
    <t>GO:0030574</t>
  </si>
  <si>
    <t>collagen catabolic process</t>
  </si>
  <si>
    <t>GO:0031214;GO:0110148</t>
  </si>
  <si>
    <t>biomineral tissue development</t>
  </si>
  <si>
    <t>GO:0034330</t>
  </si>
  <si>
    <t>cell junction organization</t>
  </si>
  <si>
    <t>GO:0035641;GO:0048692;GO:0048688;GO:0048690;GO:0048686;GO:0051971</t>
  </si>
  <si>
    <t>locomotory exploration behavior</t>
  </si>
  <si>
    <t>GO:0042592</t>
  </si>
  <si>
    <t>homeostatic process</t>
  </si>
  <si>
    <t>GO:0043603</t>
  </si>
  <si>
    <t>cellular amide metabolic process</t>
  </si>
  <si>
    <t>GO:0043604</t>
  </si>
  <si>
    <t>amide biosynthetic process</t>
  </si>
  <si>
    <t>GO:0044248;GO:0009056;GO:1901575</t>
  </si>
  <si>
    <t>catabolic process</t>
  </si>
  <si>
    <t>GO:0045623;GO:0043371;GO:0046639;GO:2000515</t>
  </si>
  <si>
    <t>negative regulation of alpha-beta T cell differentiation</t>
  </si>
  <si>
    <t>GO:0046348;GO:1901072;GO:0006032;GO:0006030</t>
  </si>
  <si>
    <t>amino sugar catabolic process</t>
  </si>
  <si>
    <t>GO:0050808</t>
  </si>
  <si>
    <t>synapse organization</t>
  </si>
  <si>
    <t>GO:0065008</t>
  </si>
  <si>
    <t>regulation of biological quality</t>
  </si>
  <si>
    <t>GO:0071873</t>
  </si>
  <si>
    <t>response to norepinephrine</t>
  </si>
  <si>
    <t>GO:0097067;GO:0097066</t>
  </si>
  <si>
    <t>response to thyroid hormone</t>
  </si>
  <si>
    <t>GO:0097435</t>
  </si>
  <si>
    <t>supramolecular fiber organization</t>
  </si>
  <si>
    <t>GO:1901136</t>
  </si>
  <si>
    <t>carbohydrate derivative catabolic process</t>
  </si>
  <si>
    <t>GO:1901566</t>
  </si>
  <si>
    <t>organonitrogen compound biosynthetic process</t>
  </si>
  <si>
    <t>GO:1903035</t>
  </si>
  <si>
    <t>negative regulation of response to wounding</t>
  </si>
  <si>
    <r>
      <t xml:space="preserve">#GO enrichment for DEGs shared by white and brown </t>
    </r>
    <r>
      <rPr>
        <i/>
        <sz val="12"/>
        <color theme="1"/>
        <rFont val="Aptos Narrow"/>
        <scheme val="minor"/>
      </rPr>
      <t>A.poculata</t>
    </r>
    <r>
      <rPr>
        <sz val="12"/>
        <color theme="1"/>
        <rFont val="Aptos Narrow"/>
        <family val="2"/>
        <scheme val="minor"/>
      </rPr>
      <t xml:space="preserve"> (heated, dark)</t>
    </r>
  </si>
  <si>
    <t>GO:0001525</t>
  </si>
  <si>
    <t>angiogenesis</t>
  </si>
  <si>
    <t>GO:0001568</t>
  </si>
  <si>
    <t>blood vessel development</t>
  </si>
  <si>
    <t>GO:0001932;GO:0031399;GO:0042325;GO:0019220;GO:0051174</t>
  </si>
  <si>
    <t>GO:0001936</t>
  </si>
  <si>
    <t>regulation of endothelial cell proliferation</t>
  </si>
  <si>
    <t>GO:0001937</t>
  </si>
  <si>
    <t>negative regulation of endothelial cell proliferation</t>
  </si>
  <si>
    <t>GO:0001952</t>
  </si>
  <si>
    <t>regulation of cell-matrix adhesion</t>
  </si>
  <si>
    <t>GO:0001959;GO:0060759</t>
  </si>
  <si>
    <t>regulation of response to cytokine stimulus</t>
  </si>
  <si>
    <t>GO:0002001</t>
  </si>
  <si>
    <t>renin secretion into blood stream</t>
  </si>
  <si>
    <t>GO:0002040</t>
  </si>
  <si>
    <t>sprouting angiogenesis</t>
  </si>
  <si>
    <t>GO:0002064</t>
  </si>
  <si>
    <t>epithelial cell development</t>
  </si>
  <si>
    <t>GO:0002221</t>
  </si>
  <si>
    <t>pattern recognition receptor signaling pathway</t>
  </si>
  <si>
    <t>GO:0002237;GO:0032496</t>
  </si>
  <si>
    <t>response to molecule of bacterial origin</t>
  </si>
  <si>
    <t>GO:0002682</t>
  </si>
  <si>
    <t>regulation of immune system process</t>
  </si>
  <si>
    <t>GO:0002683</t>
  </si>
  <si>
    <t>negative regulation of immune system process</t>
  </si>
  <si>
    <t>GO:0002764</t>
  </si>
  <si>
    <t>immune response-regulating signaling pathway</t>
  </si>
  <si>
    <t>GO:0006465</t>
  </si>
  <si>
    <t>signal peptide processing</t>
  </si>
  <si>
    <t>GO:0006954</t>
  </si>
  <si>
    <t>inflammatory response</t>
  </si>
  <si>
    <t>GO:0008283</t>
  </si>
  <si>
    <t>cell population proliferation</t>
  </si>
  <si>
    <t>GO:0008285</t>
  </si>
  <si>
    <t>negative regulation of cell population proliferation</t>
  </si>
  <si>
    <t>GO:0010033;GO:0042221</t>
  </si>
  <si>
    <t>response to chemical</t>
  </si>
  <si>
    <t>GO:0010605;GO:0009892;GO:0031324;GO:0051172</t>
  </si>
  <si>
    <t>GO:0010628</t>
  </si>
  <si>
    <t>positive regulation of gene expression</t>
  </si>
  <si>
    <t>GO:0019058</t>
  </si>
  <si>
    <t>viral life cycle</t>
  </si>
  <si>
    <t>GO:0032481</t>
  </si>
  <si>
    <t>positive regulation of type I interferon production</t>
  </si>
  <si>
    <t>GO:0032648</t>
  </si>
  <si>
    <t>regulation of interferon-beta production</t>
  </si>
  <si>
    <t>GO:0032727</t>
  </si>
  <si>
    <t>positive regulation of interferon-alpha production</t>
  </si>
  <si>
    <t>GO:0033623</t>
  </si>
  <si>
    <t>regulation of integrin activation</t>
  </si>
  <si>
    <t>GO:0040037</t>
  </si>
  <si>
    <t>negative regulation of fibroblast growth factor receptor signaling pathway</t>
  </si>
  <si>
    <t>GO:0042832;GO:0001562</t>
  </si>
  <si>
    <t>defense response to protozoan</t>
  </si>
  <si>
    <t>GO:0043086</t>
  </si>
  <si>
    <t>negative regulation of catalytic activity</t>
  </si>
  <si>
    <t>GO:0045087</t>
  </si>
  <si>
    <t>innate immune response</t>
  </si>
  <si>
    <t>GO:0045184;GO:0015031</t>
  </si>
  <si>
    <t>establishment of protein localization</t>
  </si>
  <si>
    <t>GO:0045589</t>
  </si>
  <si>
    <t>regulation of regulatory T cell differentiation</t>
  </si>
  <si>
    <t>GO:0045765;GO:1901342</t>
  </si>
  <si>
    <t>regulation of angiogenesis</t>
  </si>
  <si>
    <t>GO:0046632;GO:0046631</t>
  </si>
  <si>
    <t>alpha-beta T cell activation</t>
  </si>
  <si>
    <t>GO:0048566</t>
  </si>
  <si>
    <t>embryonic digestive tract development</t>
  </si>
  <si>
    <t>GO:0048585;GO:0009968;GO:0010648;GO:0023057</t>
  </si>
  <si>
    <t>negative regulation of response to stimulus</t>
  </si>
  <si>
    <t>GO:0050678</t>
  </si>
  <si>
    <t>regulation of epithelial cell proliferation</t>
  </si>
  <si>
    <t>GO:0050680</t>
  </si>
  <si>
    <t>negative regulation of epithelial cell proliferation</t>
  </si>
  <si>
    <t>GO:0051239</t>
  </si>
  <si>
    <t>regulation of multicellular organismal process</t>
  </si>
  <si>
    <t>GO:0051241</t>
  </si>
  <si>
    <t>negative regulation of multicellular organismal process</t>
  </si>
  <si>
    <t>GO:0060576</t>
  </si>
  <si>
    <t>intestinal epithelial cell development</t>
  </si>
  <si>
    <t>GO:0070423;GO:0002753;GO:0035872</t>
  </si>
  <si>
    <t>cytoplasmic pattern recognition receptor signaling pathway</t>
  </si>
  <si>
    <t>GO:0071702;GO:0071705</t>
  </si>
  <si>
    <t>organic substance transport</t>
  </si>
  <si>
    <t>GO:0080134</t>
  </si>
  <si>
    <t>regulation of response to stress</t>
  </si>
  <si>
    <t>GO:0098586</t>
  </si>
  <si>
    <t>cellular response to virus</t>
  </si>
  <si>
    <t>GO:1904035;GO:2000351</t>
  </si>
  <si>
    <t>regulation of epithelial cell apoptotic process</t>
  </si>
  <si>
    <t>GO:0006066</t>
  </si>
  <si>
    <t>alcohol metabolic process</t>
  </si>
  <si>
    <t>GO:0006629</t>
  </si>
  <si>
    <t>lipid metabolic process</t>
  </si>
  <si>
    <t>GO:0008202</t>
  </si>
  <si>
    <t>steroid metabolic process</t>
  </si>
  <si>
    <t>GO:0010761</t>
  </si>
  <si>
    <t>fibroblast migration</t>
  </si>
  <si>
    <t>GO:0010817</t>
  </si>
  <si>
    <t>regulation of hormone levels</t>
  </si>
  <si>
    <t>GO:0015850</t>
  </si>
  <si>
    <t>organic hydroxy compound transport</t>
  </si>
  <si>
    <t>GO:0030301;GO:0015918</t>
  </si>
  <si>
    <t>sterol transport</t>
  </si>
  <si>
    <t>GO:0042445</t>
  </si>
  <si>
    <t>hormone metabolic process</t>
  </si>
  <si>
    <t>GO:0043589</t>
  </si>
  <si>
    <t>skin morphogenesis</t>
  </si>
  <si>
    <t>GO:0044283</t>
  </si>
  <si>
    <t>small molecule biosynthetic process</t>
  </si>
  <si>
    <t>GO:0046165</t>
  </si>
  <si>
    <t>alcohol biosynthetic process</t>
  </si>
  <si>
    <t>GO:0048570</t>
  </si>
  <si>
    <t>notochord morphogenesis</t>
  </si>
  <si>
    <t>GO:0070208</t>
  </si>
  <si>
    <t>protein heterotrimerization</t>
  </si>
  <si>
    <t>GO:1901615</t>
  </si>
  <si>
    <t>organic hydroxy compound metabolic process</t>
  </si>
  <si>
    <t>GO:1901617</t>
  </si>
  <si>
    <t>organic hydroxy compound biosynthetic process</t>
  </si>
  <si>
    <r>
      <t xml:space="preserve">#GO enrichment for DEGs unique to white </t>
    </r>
    <r>
      <rPr>
        <i/>
        <sz val="12"/>
        <color theme="1"/>
        <rFont val="Aptos Narrow"/>
        <scheme val="minor"/>
      </rPr>
      <t xml:space="preserve">A.poculata </t>
    </r>
    <r>
      <rPr>
        <sz val="12"/>
        <color theme="1"/>
        <rFont val="Aptos Narrow"/>
        <family val="2"/>
        <scheme val="minor"/>
      </rPr>
      <t>(heated, dark)</t>
    </r>
  </si>
  <si>
    <t>GO:0001833</t>
  </si>
  <si>
    <t>inner cell mass cell proliferation</t>
  </si>
  <si>
    <t>GO:0002181</t>
  </si>
  <si>
    <t>cytoplasmic translation</t>
  </si>
  <si>
    <t>GO:0002224</t>
  </si>
  <si>
    <t>toll-like receptor signaling pathway</t>
  </si>
  <si>
    <t>GO:0002335</t>
  </si>
  <si>
    <t>mature B cell differentiation</t>
  </si>
  <si>
    <t>GO:0006368;GO:0006354</t>
  </si>
  <si>
    <t>DNA-templated transcription, elongation</t>
  </si>
  <si>
    <t>GO:0006399</t>
  </si>
  <si>
    <t>tRNA metabolic process</t>
  </si>
  <si>
    <t>GO:0006418;GO:0043039;GO:0043038</t>
  </si>
  <si>
    <t>tRNA aminoacylation</t>
  </si>
  <si>
    <t>GO:0006468;GO:0016310</t>
  </si>
  <si>
    <t>phosphorylation</t>
  </si>
  <si>
    <t>GO:0006520;GO:1901605</t>
  </si>
  <si>
    <t>cellular amino acid metabolic process</t>
  </si>
  <si>
    <t>GO:0006541</t>
  </si>
  <si>
    <t>glutamine metabolic process</t>
  </si>
  <si>
    <t>GO:0006606;GO:0051170</t>
  </si>
  <si>
    <t>import into nucleus</t>
  </si>
  <si>
    <t>GO:0006796;GO:0006793</t>
  </si>
  <si>
    <t>phosphorus metabolic process</t>
  </si>
  <si>
    <t>GO:0006810;GO:0051234</t>
  </si>
  <si>
    <t>establishment of localization</t>
  </si>
  <si>
    <t>GO:0006839</t>
  </si>
  <si>
    <t>mitochondrial transport</t>
  </si>
  <si>
    <t>GO:0006897</t>
  </si>
  <si>
    <t>endocytosis</t>
  </si>
  <si>
    <t>GO:0006906;GO:0090174;GO:0048284;GO:0061025</t>
  </si>
  <si>
    <t>organelle fusion</t>
  </si>
  <si>
    <t>GO:0007005</t>
  </si>
  <si>
    <t>mitochondrion organization</t>
  </si>
  <si>
    <t>GO:0007006</t>
  </si>
  <si>
    <t>mitochondrial membrane organization</t>
  </si>
  <si>
    <t>GO:0007166</t>
  </si>
  <si>
    <t>cell surface receptor signaling pathway</t>
  </si>
  <si>
    <t>GO:0007339</t>
  </si>
  <si>
    <t>binding of sperm to zona pellucida</t>
  </si>
  <si>
    <t>GO:0007416</t>
  </si>
  <si>
    <t>synapse assembly</t>
  </si>
  <si>
    <t>GO:0008037</t>
  </si>
  <si>
    <t>cell recognition</t>
  </si>
  <si>
    <t>GO:0008063</t>
  </si>
  <si>
    <t>Toll signaling pathway</t>
  </si>
  <si>
    <t>GO:0008535</t>
  </si>
  <si>
    <t>respiratory chain complex IV assembly</t>
  </si>
  <si>
    <t>GO:0008637</t>
  </si>
  <si>
    <t>apoptotic mitochondrial changes</t>
  </si>
  <si>
    <t>GO:0009064</t>
  </si>
  <si>
    <t>glutamine family amino acid metabolic process</t>
  </si>
  <si>
    <t>GO:0009199;GO:0009205;GO:0009144</t>
  </si>
  <si>
    <t>purine nucleoside triphosphate metabolic process</t>
  </si>
  <si>
    <t>GO:0009734;GO:0010928</t>
  </si>
  <si>
    <t>auxin-activated signaling pathway</t>
  </si>
  <si>
    <t>GO:0010822</t>
  </si>
  <si>
    <t>positive regulation of mitochondrion organization</t>
  </si>
  <si>
    <t>GO:0010975</t>
  </si>
  <si>
    <t>regulation of neuron projection development</t>
  </si>
  <si>
    <t>GO:0015031;GO:0045184</t>
  </si>
  <si>
    <t>GO:0016192</t>
  </si>
  <si>
    <t>vesicle-mediated transport</t>
  </si>
  <si>
    <t>GO:0016199;GO:0016198;GO:0035385</t>
  </si>
  <si>
    <t>Roundabout signaling pathway</t>
  </si>
  <si>
    <t>GO:0016485;GO:0051604</t>
  </si>
  <si>
    <t>protein maturation</t>
  </si>
  <si>
    <t>GO:0016569</t>
  </si>
  <si>
    <t>obsolete covalent chromatin modification</t>
  </si>
  <si>
    <t>GO:0017038</t>
  </si>
  <si>
    <t>protein import</t>
  </si>
  <si>
    <t>GO:0018126</t>
  </si>
  <si>
    <t>protein hydroxylation</t>
  </si>
  <si>
    <t>GO:0018208</t>
  </si>
  <si>
    <t>peptidyl-proline modification</t>
  </si>
  <si>
    <t>GO:0019752;GO:0043436;GO:0006082</t>
  </si>
  <si>
    <t>organic acid metabolic process</t>
  </si>
  <si>
    <t>GO:0022603</t>
  </si>
  <si>
    <t>regulation of anatomical structure morphogenesis</t>
  </si>
  <si>
    <t>GO:0022604</t>
  </si>
  <si>
    <t>regulation of cell morphogenesis</t>
  </si>
  <si>
    <t>GO:0030100</t>
  </si>
  <si>
    <t>regulation of endocytosis</t>
  </si>
  <si>
    <t>GO:0030150</t>
  </si>
  <si>
    <t>protein import into mitochondrial matrix</t>
  </si>
  <si>
    <t>GO:0030154</t>
  </si>
  <si>
    <t>cell differentiation</t>
  </si>
  <si>
    <t>GO:0031056</t>
  </si>
  <si>
    <t>regulation of histone modification</t>
  </si>
  <si>
    <t>GO:0031058</t>
  </si>
  <si>
    <t>positive regulation of histone modification</t>
  </si>
  <si>
    <t>GO:0031440</t>
  </si>
  <si>
    <t>regulation of mRNA 3'-end processing</t>
  </si>
  <si>
    <t>GO:0032784</t>
  </si>
  <si>
    <t>regulation of DNA-templated transcription, elongation</t>
  </si>
  <si>
    <t>GO:0032786</t>
  </si>
  <si>
    <t>positive regulation of DNA-templated transcription, elongation</t>
  </si>
  <si>
    <t>GO:0032879</t>
  </si>
  <si>
    <t>regulation of localization</t>
  </si>
  <si>
    <t>GO:0032880</t>
  </si>
  <si>
    <t>regulation of protein localization</t>
  </si>
  <si>
    <t>GO:0032968</t>
  </si>
  <si>
    <t>positive regulation of transcription elongation from RNA polymerase II promoter</t>
  </si>
  <si>
    <t>GO:0033146</t>
  </si>
  <si>
    <t>regulation of intracellular estrogen receptor signaling pathway</t>
  </si>
  <si>
    <t>GO:0033209</t>
  </si>
  <si>
    <t>tumor necrosis factor-mediated signaling pathway</t>
  </si>
  <si>
    <t>GO:0033617</t>
  </si>
  <si>
    <t>mitochondrial cytochrome c oxidase assembly</t>
  </si>
  <si>
    <t>GO:0034243</t>
  </si>
  <si>
    <t>regulation of transcription elongation from RNA polymerase II promoter</t>
  </si>
  <si>
    <t>GO:0043065;GO:0043068;GO:0010942</t>
  </si>
  <si>
    <t>positive regulation of cell death</t>
  </si>
  <si>
    <t>GO:0043066;GO:0043069;GO:0060548</t>
  </si>
  <si>
    <t>negative regulation of cell death</t>
  </si>
  <si>
    <t>GO:0043122</t>
  </si>
  <si>
    <t>regulation of I-kappaB kinase/NF-kappaB signaling</t>
  </si>
  <si>
    <t>GO:0043123</t>
  </si>
  <si>
    <t>positive regulation of I-kappaB kinase/NF-kappaB signaling</t>
  </si>
  <si>
    <t>GO:0043542</t>
  </si>
  <si>
    <t>endothelial cell migration</t>
  </si>
  <si>
    <t>GO:0044087</t>
  </si>
  <si>
    <t>regulation of cellular component biogenesis</t>
  </si>
  <si>
    <t>GO:0044089</t>
  </si>
  <si>
    <t>positive regulation of cellular component biogenesis</t>
  </si>
  <si>
    <t>GO:0044281</t>
  </si>
  <si>
    <t>small molecule metabolic process</t>
  </si>
  <si>
    <t>GO:0045595</t>
  </si>
  <si>
    <t>regulation of cell differentiation</t>
  </si>
  <si>
    <t>GO:0046902;GO:0090559</t>
  </si>
  <si>
    <t>regulation of membrane permeability</t>
  </si>
  <si>
    <t>GO:0048259</t>
  </si>
  <si>
    <t>regulation of receptor-mediated endocytosis</t>
  </si>
  <si>
    <t>GO:0048524</t>
  </si>
  <si>
    <t>positive regulation of viral process</t>
  </si>
  <si>
    <t>GO:0048646</t>
  </si>
  <si>
    <t>anatomical structure formation involved in morphogenesis</t>
  </si>
  <si>
    <t>GO:0048856</t>
  </si>
  <si>
    <t>anatomical structure development</t>
  </si>
  <si>
    <t>GO:0048869</t>
  </si>
  <si>
    <t>cellular developmental process</t>
  </si>
  <si>
    <t>GO:0050767</t>
  </si>
  <si>
    <t>regulation of neurogenesis</t>
  </si>
  <si>
    <t>GO:0050776</t>
  </si>
  <si>
    <t>regulation of immune response</t>
  </si>
  <si>
    <t>GO:0050792</t>
  </si>
  <si>
    <t>regulation of viral process</t>
  </si>
  <si>
    <t>GO:0050807;GO:0051963;GO:1901888</t>
  </si>
  <si>
    <t>regulation of synapse organization</t>
  </si>
  <si>
    <t>GO:0050821</t>
  </si>
  <si>
    <t>protein stabilization</t>
  </si>
  <si>
    <t>GO:0051090</t>
  </si>
  <si>
    <t>regulation of DNA-binding transcription factor activity</t>
  </si>
  <si>
    <t>GO:0051091</t>
  </si>
  <si>
    <t>positive regulation of DNA-binding transcription factor activity</t>
  </si>
  <si>
    <t>GO:0051130</t>
  </si>
  <si>
    <t>positive regulation of cellular component organization</t>
  </si>
  <si>
    <t>GO:0051259</t>
  </si>
  <si>
    <t>protein complex oligomerization</t>
  </si>
  <si>
    <t>GO:0051301</t>
  </si>
  <si>
    <t>cell division</t>
  </si>
  <si>
    <t>GO:0051960</t>
  </si>
  <si>
    <t>regulation of nervous system development</t>
  </si>
  <si>
    <t>GO:0060711</t>
  </si>
  <si>
    <t>labyrinthine layer development</t>
  </si>
  <si>
    <t>GO:0061024</t>
  </si>
  <si>
    <t>membrane organization</t>
  </si>
  <si>
    <t>GO:0062197</t>
  </si>
  <si>
    <t>cellular response to chemical stress</t>
  </si>
  <si>
    <t>GO:0071901</t>
  </si>
  <si>
    <t>negative regulation of protein serine/threonine kinase activity</t>
  </si>
  <si>
    <t>GO:0072594</t>
  </si>
  <si>
    <t>establishment of protein localization to organelle</t>
  </si>
  <si>
    <t>GO:0120035;GO:0031344</t>
  </si>
  <si>
    <t>regulation of cell projection organization</t>
  </si>
  <si>
    <t>GO:1901030;GO:1901028</t>
  </si>
  <si>
    <t>regulation of mitochondrial outer membrane permeabilization involved in apoptotic signaling pathway</t>
  </si>
  <si>
    <t>GO:1901214</t>
  </si>
  <si>
    <t>regulation of neuron death</t>
  </si>
  <si>
    <t>GO:1903829</t>
  </si>
  <si>
    <t>positive regulation of protein localization</t>
  </si>
  <si>
    <t>GO:1904814</t>
  </si>
  <si>
    <t>regulation of protein localization to chromosome, telomeric region</t>
  </si>
  <si>
    <t>GO:1904872</t>
  </si>
  <si>
    <t>regulation of telomerase RNA localization to Cajal body</t>
  </si>
  <si>
    <t>GO:1904874</t>
  </si>
  <si>
    <t>positive regulation of telomerase RNA localization to Cajal body</t>
  </si>
  <si>
    <t>GO:1990542</t>
  </si>
  <si>
    <t>mitochondrial transmembrane transport</t>
  </si>
  <si>
    <t>GO:2000028</t>
  </si>
  <si>
    <t>regulation of photoperiodism, flowering</t>
  </si>
  <si>
    <t>GO:2000051</t>
  </si>
  <si>
    <t>negative regulation of non-canonical Wnt signaling pathway</t>
  </si>
  <si>
    <t>GO:2000369</t>
  </si>
  <si>
    <t>regulation of clathrin-dependent endocytosis</t>
  </si>
  <si>
    <t>GO:0000096</t>
  </si>
  <si>
    <t>sulfur amino acid metabolic process</t>
  </si>
  <si>
    <t>GO:0001101;GO:0043200</t>
  </si>
  <si>
    <t>response to acid chemical</t>
  </si>
  <si>
    <t>GO:0001508</t>
  </si>
  <si>
    <t>action potential</t>
  </si>
  <si>
    <t>GO:0001558</t>
  </si>
  <si>
    <t>regulation of cell growth</t>
  </si>
  <si>
    <t>GO:0003007</t>
  </si>
  <si>
    <t>heart morphogenesis</t>
  </si>
  <si>
    <t>GO:0006182;GO:0046068</t>
  </si>
  <si>
    <t>cGMP metabolic process</t>
  </si>
  <si>
    <t>GO:0006575</t>
  </si>
  <si>
    <t>cellular modified amino acid metabolic process</t>
  </si>
  <si>
    <t>GO:0006577</t>
  </si>
  <si>
    <t>amino-acid betaine metabolic process</t>
  </si>
  <si>
    <t>GO:0006579</t>
  </si>
  <si>
    <t>amino-acid betaine catabolic process</t>
  </si>
  <si>
    <t>GO:0006811</t>
  </si>
  <si>
    <t>ion transport</t>
  </si>
  <si>
    <t>GO:0006865</t>
  </si>
  <si>
    <t>amino acid transport</t>
  </si>
  <si>
    <t>GO:0006875;GO:0055065;GO:0030003;GO:0006873;GO:0055082</t>
  </si>
  <si>
    <t>cellular chemical homeostasis</t>
  </si>
  <si>
    <t>GO:0006941</t>
  </si>
  <si>
    <t>striated muscle contraction</t>
  </si>
  <si>
    <t>GO:0007155;GO:0022610</t>
  </si>
  <si>
    <t>biological adhesion</t>
  </si>
  <si>
    <t>GO:0007160</t>
  </si>
  <si>
    <t>cell-matrix adhesion</t>
  </si>
  <si>
    <t>GO:0007179</t>
  </si>
  <si>
    <t>transforming growth factor beta receptor signaling pathway</t>
  </si>
  <si>
    <t>GO:0007265</t>
  </si>
  <si>
    <t>Ras protein signal transduction</t>
  </si>
  <si>
    <t>GO:0007266</t>
  </si>
  <si>
    <t>Rho protein signal transduction</t>
  </si>
  <si>
    <t>GO:0007605;GO:0050954</t>
  </si>
  <si>
    <t>sensory perception of mechanical stimulus</t>
  </si>
  <si>
    <t>GO:0008284</t>
  </si>
  <si>
    <t>positive regulation of cell population proliferation</t>
  </si>
  <si>
    <t>GO:0009187;GO:0009190</t>
  </si>
  <si>
    <t>cyclic nucleotide metabolic process</t>
  </si>
  <si>
    <t>GO:0009612</t>
  </si>
  <si>
    <t>response to mechanical stimulus</t>
  </si>
  <si>
    <t>GO:0009653</t>
  </si>
  <si>
    <t>anatomical structure morphogenesis</t>
  </si>
  <si>
    <t>GO:0009886</t>
  </si>
  <si>
    <t>post-embryonic animal morphogenesis</t>
  </si>
  <si>
    <t>GO:0010035</t>
  </si>
  <si>
    <t>response to inorganic substance</t>
  </si>
  <si>
    <t>GO:0010765</t>
  </si>
  <si>
    <t>positive regulation of sodium ion transport</t>
  </si>
  <si>
    <t>GO:0014070</t>
  </si>
  <si>
    <t>response to organic cyclic compound</t>
  </si>
  <si>
    <t>GO:0016477;GO:0048870;GO:0040011</t>
  </si>
  <si>
    <t>locomotion</t>
  </si>
  <si>
    <t>GO:0016486;GO:0140448</t>
  </si>
  <si>
    <t>peptide hormone processing</t>
  </si>
  <si>
    <t>GO:0019228</t>
  </si>
  <si>
    <t>neuronal action potential</t>
  </si>
  <si>
    <t>GO:0019722</t>
  </si>
  <si>
    <t>calcium-mediated signaling</t>
  </si>
  <si>
    <t>GO:0019725;GO:0055080;GO:0098771;GO:0050801</t>
  </si>
  <si>
    <t>ion homeostasis</t>
  </si>
  <si>
    <t>GO:0019932</t>
  </si>
  <si>
    <t>second-messenger-mediated signaling</t>
  </si>
  <si>
    <t>GO:0019934</t>
  </si>
  <si>
    <t>cGMP-mediated signaling</t>
  </si>
  <si>
    <t>GO:0021604;GO:0048532</t>
  </si>
  <si>
    <t>anatomical structure arrangement</t>
  </si>
  <si>
    <t>GO:0030001;GO:0006812</t>
  </si>
  <si>
    <t>cation transport</t>
  </si>
  <si>
    <t>GO:0030036;GO:0030029</t>
  </si>
  <si>
    <t>actin filament-based process</t>
  </si>
  <si>
    <t>GO:0030048</t>
  </si>
  <si>
    <t>actin filament-based movement</t>
  </si>
  <si>
    <t>GO:0030182</t>
  </si>
  <si>
    <t>neuron differentiation</t>
  </si>
  <si>
    <t>GO:0030334;GO:2000145;GO:0051270</t>
  </si>
  <si>
    <t>regulation of cellular component movement</t>
  </si>
  <si>
    <t>GO:0030834</t>
  </si>
  <si>
    <t>regulation of actin filament depolymerization</t>
  </si>
  <si>
    <t>GO:0030837;GO:0032272</t>
  </si>
  <si>
    <t>negative regulation of protein polymerization</t>
  </si>
  <si>
    <t>GO:0031589</t>
  </si>
  <si>
    <t>cell-substrate adhesion</t>
  </si>
  <si>
    <t>GO:0033993</t>
  </si>
  <si>
    <t>response to lipid</t>
  </si>
  <si>
    <t>GO:0034220</t>
  </si>
  <si>
    <t>ion transmembrane transport</t>
  </si>
  <si>
    <t>GO:0034765;GO:0034762</t>
  </si>
  <si>
    <t>regulation of transmembrane transport</t>
  </si>
  <si>
    <t>GO:0035023</t>
  </si>
  <si>
    <t>regulation of Rho protein signal transduction</t>
  </si>
  <si>
    <t>GO:0035317;GO:0035316</t>
  </si>
  <si>
    <t>non-sensory hair organization</t>
  </si>
  <si>
    <t>GO:0038166;GO:2001150;GO:2000880;GO:2001148;GO:0090089;GO:2000878;GO:0090088</t>
  </si>
  <si>
    <t>regulation of oligopeptide transport</t>
  </si>
  <si>
    <t>GO:0040012</t>
  </si>
  <si>
    <t>regulation of locomotion</t>
  </si>
  <si>
    <t>GO:0042219</t>
  </si>
  <si>
    <t>cellular modified amino acid catabolic process</t>
  </si>
  <si>
    <t>GO:0042391</t>
  </si>
  <si>
    <t>regulation of membrane potential</t>
  </si>
  <si>
    <t>GO:0043171</t>
  </si>
  <si>
    <t>peptide catabolic process</t>
  </si>
  <si>
    <t>GO:0043269</t>
  </si>
  <si>
    <t>regulation of ion transport</t>
  </si>
  <si>
    <t>GO:0045637</t>
  </si>
  <si>
    <t>regulation of myeloid cell differentiation</t>
  </si>
  <si>
    <t>GO:0045646</t>
  </si>
  <si>
    <t>regulation of erythrocyte differentiation</t>
  </si>
  <si>
    <t>GO:0046578;GO:0051056</t>
  </si>
  <si>
    <t>regulation of small GTPase mediated signal transduction</t>
  </si>
  <si>
    <t>GO:0048639;GO:0045927</t>
  </si>
  <si>
    <t>positive regulation of growth</t>
  </si>
  <si>
    <t>GO:0048731</t>
  </si>
  <si>
    <t>system development</t>
  </si>
  <si>
    <t>GO:0048878</t>
  </si>
  <si>
    <t>chemical homeostasis</t>
  </si>
  <si>
    <t>GO:0051049</t>
  </si>
  <si>
    <t>regulation of transport</t>
  </si>
  <si>
    <t>GO:0051094</t>
  </si>
  <si>
    <t>positive regulation of developmental process</t>
  </si>
  <si>
    <t>GO:0051291</t>
  </si>
  <si>
    <t>protein heterooligomerization</t>
  </si>
  <si>
    <t>GO:0051693;GO:0030835</t>
  </si>
  <si>
    <t>negative regulation of actin filament depolymerization</t>
  </si>
  <si>
    <t>GO:0055067</t>
  </si>
  <si>
    <t>monovalent inorganic cation homeostasis</t>
  </si>
  <si>
    <t>GO:0055085</t>
  </si>
  <si>
    <t>transmembrane transport</t>
  </si>
  <si>
    <t>GO:0060046</t>
  </si>
  <si>
    <t>regulation of acrosome reaction</t>
  </si>
  <si>
    <t>GO:0060048;GO:0035994</t>
  </si>
  <si>
    <t>cardiac muscle contraction</t>
  </si>
  <si>
    <t>GO:0061314</t>
  </si>
  <si>
    <t>Notch signaling involved in heart development</t>
  </si>
  <si>
    <t>GO:0070887;GO:0071310</t>
  </si>
  <si>
    <t>cellular response to chemical stimulus</t>
  </si>
  <si>
    <t>GO:0071230;GO:0071229</t>
  </si>
  <si>
    <t>cellular response to acid chemical</t>
  </si>
  <si>
    <t>GO:0071300;GO:0032526</t>
  </si>
  <si>
    <t>response to retinoic acid</t>
  </si>
  <si>
    <t>GO:0071731;GO:0071732;GO:1902170</t>
  </si>
  <si>
    <t>response to nitric oxide</t>
  </si>
  <si>
    <t>GO:0071805</t>
  </si>
  <si>
    <t>potassium ion transmembrane transport</t>
  </si>
  <si>
    <t>GO:0072521;GO:0006163;GO:0009150;GO:0009259;GO:0019693</t>
  </si>
  <si>
    <t>purine-containing compound metabolic process</t>
  </si>
  <si>
    <t>GO:0086001</t>
  </si>
  <si>
    <t>cardiac muscle cell action potential</t>
  </si>
  <si>
    <t>GO:0098662;GO:0098655;GO:0098660</t>
  </si>
  <si>
    <t>inorganic ion transmembrane transport</t>
  </si>
  <si>
    <t>GO:1901701</t>
  </si>
  <si>
    <t>cellular response to oxygen-containing compound</t>
  </si>
  <si>
    <t>GO:1901880;GO:1901879;GO:0043242</t>
  </si>
  <si>
    <t>negative regulation of protein-containing complex disassembly</t>
  </si>
  <si>
    <t>GO:1903034</t>
  </si>
  <si>
    <t>regulation of response to wounding</t>
  </si>
  <si>
    <t>GO:1903118</t>
  </si>
  <si>
    <t>urate homeostasis</t>
  </si>
  <si>
    <t>GO:1903706</t>
  </si>
  <si>
    <t>regulation of hemopoiesis</t>
  </si>
  <si>
    <t>GO:2000651;GO:1902307</t>
  </si>
  <si>
    <t>positive regulation of sodium ion transmembrane transport</t>
  </si>
  <si>
    <r>
      <t xml:space="preserve">#GO enrichment for DEGs unique to brown </t>
    </r>
    <r>
      <rPr>
        <i/>
        <sz val="12"/>
        <color theme="1"/>
        <rFont val="Aptos Narrow"/>
        <scheme val="minor"/>
      </rPr>
      <t xml:space="preserve">A.poculata </t>
    </r>
    <r>
      <rPr>
        <sz val="12"/>
        <color theme="1"/>
        <rFont val="Aptos Narrow"/>
        <family val="2"/>
        <scheme val="minor"/>
      </rPr>
      <t>(heated, dark)</t>
    </r>
  </si>
  <si>
    <t>GO:0001516;GO:0046457</t>
  </si>
  <si>
    <t>prostaglandin biosynthetic process</t>
  </si>
  <si>
    <t>GO:0006633</t>
  </si>
  <si>
    <t>fatty acid biosynthetic process</t>
  </si>
  <si>
    <t>GO:0006636</t>
  </si>
  <si>
    <t>unsaturated fatty acid biosynthetic process</t>
  </si>
  <si>
    <t>GO:0006693;GO:0006692</t>
  </si>
  <si>
    <t>prostaglandin metabolic process</t>
  </si>
  <si>
    <t>GO:0006790</t>
  </si>
  <si>
    <t>sulfur compound metabolic process</t>
  </si>
  <si>
    <t>GO:0008610</t>
  </si>
  <si>
    <t>lipid biosynthetic process</t>
  </si>
  <si>
    <t>Description</t>
  </si>
  <si>
    <t>S1</t>
  </si>
  <si>
    <t>S2</t>
  </si>
  <si>
    <t>S3</t>
  </si>
  <si>
    <t>S4</t>
  </si>
  <si>
    <t>S5</t>
  </si>
  <si>
    <t>S6</t>
  </si>
  <si>
    <t>S7</t>
  </si>
  <si>
    <t>S8</t>
  </si>
  <si>
    <t>S9</t>
  </si>
  <si>
    <t>S10</t>
  </si>
  <si>
    <t xml:space="preserve">Table </t>
  </si>
  <si>
    <t>#module  = the module the enrichment statistics refer to</t>
  </si>
  <si>
    <t>module</t>
  </si>
  <si>
    <t>yellow</t>
  </si>
  <si>
    <t>GO:0000447</t>
  </si>
  <si>
    <t>endonucleolytic cleavage in ITS1 to separate SSU-rRNA from 5.8S rRNA and LSU-rRNA from tricistronic rRNA transcript (SSU-rRNA, 5.8S rRNA, LSU-rRNA)</t>
  </si>
  <si>
    <t>GO:0000462</t>
  </si>
  <si>
    <t>maturation of SSU-rRNA from tricistronic rRNA transcript (SSU-rRNA, 5.8S rRNA, LSU-rRNA)</t>
  </si>
  <si>
    <t>GO:0000469</t>
  </si>
  <si>
    <t>cleavage involved in rRNA processing</t>
  </si>
  <si>
    <t>GO:0000479;GO:0000478</t>
  </si>
  <si>
    <t>endonucleolytic cleavage of tricistronic rRNA transcript (SSU-rRNA, 5.8S rRNA, LSU-rRNA)</t>
  </si>
  <si>
    <t>GO:0006259</t>
  </si>
  <si>
    <t>DNA metabolic process</t>
  </si>
  <si>
    <t>GO:0006260</t>
  </si>
  <si>
    <t>DNA replication</t>
  </si>
  <si>
    <t>GO:0006270</t>
  </si>
  <si>
    <t>DNA replication initiation</t>
  </si>
  <si>
    <t>GO:0006281</t>
  </si>
  <si>
    <t>DNA repair</t>
  </si>
  <si>
    <t>GO:0006297</t>
  </si>
  <si>
    <t>nucleotide-excision repair, DNA gap filling</t>
  </si>
  <si>
    <t>GO:0006325</t>
  </si>
  <si>
    <t>GO:0006334</t>
  </si>
  <si>
    <t>nucleosome assembly</t>
  </si>
  <si>
    <t>GO:0006336;GO:0034724</t>
  </si>
  <si>
    <t>DNA replication-independent chromatin organization</t>
  </si>
  <si>
    <t>GO:0006338</t>
  </si>
  <si>
    <t>chromatin remodeling</t>
  </si>
  <si>
    <t>GO:0006353</t>
  </si>
  <si>
    <t>DNA-templated transcription, termination</t>
  </si>
  <si>
    <t>GO:0006356</t>
  </si>
  <si>
    <t>regulation of transcription by RNA polymerase I</t>
  </si>
  <si>
    <t>GO:0006376</t>
  </si>
  <si>
    <t>mRNA splice site selection</t>
  </si>
  <si>
    <t>GO:0006397;GO:0016071</t>
  </si>
  <si>
    <t>amino acid activation</t>
  </si>
  <si>
    <t>GO:0006473;GO:0043543</t>
  </si>
  <si>
    <t>protein acylation</t>
  </si>
  <si>
    <t>GO:0006974</t>
  </si>
  <si>
    <t>GO:0006997</t>
  </si>
  <si>
    <t>nucleus organization</t>
  </si>
  <si>
    <t>GO:0007064</t>
  </si>
  <si>
    <t>mitotic sister chromatid cohesion</t>
  </si>
  <si>
    <t>GO:0007094;GO:0045841;GO:0071173;GO:0071174;GO:1902100;GO:2000816;GO:0033048;GO:1905819;GO:0033046;GO:0051985;GO:0031577</t>
  </si>
  <si>
    <t>negative regulation of mitotic sister chromatid separation</t>
  </si>
  <si>
    <t>GO:0007095;GO:0044818</t>
  </si>
  <si>
    <t>mitotic G2/M transition checkpoint</t>
  </si>
  <si>
    <t>GO:0007569</t>
  </si>
  <si>
    <t>cell aging</t>
  </si>
  <si>
    <t>GO:0008380</t>
  </si>
  <si>
    <t>RNA splicing</t>
  </si>
  <si>
    <t>GO:0009156;GO:0009124</t>
  </si>
  <si>
    <t>nucleoside monophosphate biosynthetic process</t>
  </si>
  <si>
    <t>GO:0009451</t>
  </si>
  <si>
    <t>RNA modification</t>
  </si>
  <si>
    <t>GO:0009892;GO:0010605</t>
  </si>
  <si>
    <t>GO:0010501</t>
  </si>
  <si>
    <t>RNA secondary structure unwinding</t>
  </si>
  <si>
    <t>GO:0010972;GO:1902750</t>
  </si>
  <si>
    <t>negative regulation of cell cycle G2/M phase transition</t>
  </si>
  <si>
    <t>GO:0015931;GO:0051028;GO:0050658;GO:0050657;GO:0051236</t>
  </si>
  <si>
    <t>GO:0016570</t>
  </si>
  <si>
    <t>histone modification</t>
  </si>
  <si>
    <t>GO:0016573;GO:0018393;GO:0006475;GO:0018394</t>
  </si>
  <si>
    <t>internal protein amino acid acetylation</t>
  </si>
  <si>
    <t>GO:0018130;GO:0019438;GO:1901362;GO:0034654</t>
  </si>
  <si>
    <t>organic cyclic compound biosynthetic process</t>
  </si>
  <si>
    <t>GO:0018205</t>
  </si>
  <si>
    <t>peptidyl-lysine modification</t>
  </si>
  <si>
    <t>ribonucleoprotein complex subunit organization</t>
  </si>
  <si>
    <t>GO:0030071;GO:0010965;GO:1902099;GO:1905818;GO:0033045;GO:0051983</t>
  </si>
  <si>
    <t>regulation of chromosome segregation</t>
  </si>
  <si>
    <t>GO:0030490</t>
  </si>
  <si>
    <t>maturation of SSU-rRNA</t>
  </si>
  <si>
    <t>GO:0031324;GO:0051172</t>
  </si>
  <si>
    <t>negative regulation of cellular metabolic process</t>
  </si>
  <si>
    <t>GO:0031330;GO:0009895</t>
  </si>
  <si>
    <t>negative regulation of catabolic process</t>
  </si>
  <si>
    <t>GO:0031497;GO:0006333</t>
  </si>
  <si>
    <t>chromatin assembly or disassembly</t>
  </si>
  <si>
    <t>GO:0031507;GO:0070828</t>
  </si>
  <si>
    <t>heterochromatin organization</t>
  </si>
  <si>
    <t>GO:0032204</t>
  </si>
  <si>
    <t>regulation of telomere maintenance</t>
  </si>
  <si>
    <t>GO:0032206</t>
  </si>
  <si>
    <t>positive regulation of telomere maintenance</t>
  </si>
  <si>
    <t>GO:0033047</t>
  </si>
  <si>
    <t>regulation of mitotic sister chromatid segregation</t>
  </si>
  <si>
    <t>GO:0033314;GO:0000076</t>
  </si>
  <si>
    <t>DNA replication checkpoint signaling</t>
  </si>
  <si>
    <t>GO:0034471;GO:0000966</t>
  </si>
  <si>
    <t>RNA 5'-end processing</t>
  </si>
  <si>
    <t>GO:0034728</t>
  </si>
  <si>
    <t>nucleosome organization</t>
  </si>
  <si>
    <t>GO:0040029</t>
  </si>
  <si>
    <t>regulation of gene expression, epigenetic</t>
  </si>
  <si>
    <t>GO:0042273</t>
  </si>
  <si>
    <t>ribosomal large subunit biogenesis</t>
  </si>
  <si>
    <t>GO:0043414;GO:0032259</t>
  </si>
  <si>
    <t>methylation</t>
  </si>
  <si>
    <t>GO:0043486</t>
  </si>
  <si>
    <t>histone exchange</t>
  </si>
  <si>
    <t>GO:0043488;GO:0043487;GO:0061013</t>
  </si>
  <si>
    <t>regulation of RNA stability</t>
  </si>
  <si>
    <t>GO:0043489;GO:1902369</t>
  </si>
  <si>
    <t>negative regulation of RNA catabolic process</t>
  </si>
  <si>
    <t>GO:0043967</t>
  </si>
  <si>
    <t>histone H4 acetylation</t>
  </si>
  <si>
    <t>GO:0043968</t>
  </si>
  <si>
    <t>histone H2A acetylation</t>
  </si>
  <si>
    <t>GO:0045814</t>
  </si>
  <si>
    <t>negative regulation of gene expression, epigenetic</t>
  </si>
  <si>
    <t>GO:0045842;GO:1901970;GO:1902101;GO:1905820</t>
  </si>
  <si>
    <t>positive regulation of chromosome separation</t>
  </si>
  <si>
    <t>positive regulation of biosynthetic process</t>
  </si>
  <si>
    <t>GO:0048255</t>
  </si>
  <si>
    <t>mRNA stabilization</t>
  </si>
  <si>
    <t>GO:0051053</t>
  </si>
  <si>
    <t>negative regulation of DNA metabolic process</t>
  </si>
  <si>
    <t>GO:0065004</t>
  </si>
  <si>
    <t>protein-DNA complex assembly</t>
  </si>
  <si>
    <t>GO:0071824</t>
  </si>
  <si>
    <t>protein-DNA complex subunit organization</t>
  </si>
  <si>
    <t>GO:0071897</t>
  </si>
  <si>
    <t>DNA biosynthetic process</t>
  </si>
  <si>
    <t>GO:0072711;GO:0072710</t>
  </si>
  <si>
    <t>response to hydroxyurea</t>
  </si>
  <si>
    <t>GO:0090305</t>
  </si>
  <si>
    <t>nucleic acid phosphodiester bond hydrolysis</t>
  </si>
  <si>
    <t>GO:0090398</t>
  </si>
  <si>
    <t>cellular senescence</t>
  </si>
  <si>
    <t>GO:0090501</t>
  </si>
  <si>
    <t>RNA phosphodiester bond hydrolysis</t>
  </si>
  <si>
    <t>GO:0090502</t>
  </si>
  <si>
    <t>RNA phosphodiester bond hydrolysis, endonucleolytic</t>
  </si>
  <si>
    <t>GO:0140718</t>
  </si>
  <si>
    <t>facultative heterochromatin assembly</t>
  </si>
  <si>
    <t>GO:1901796</t>
  </si>
  <si>
    <t>regulation of signal transduction by p53 class mediator</t>
  </si>
  <si>
    <t>GO:1901987;GO:1901990</t>
  </si>
  <si>
    <t>GO:1902570</t>
  </si>
  <si>
    <t>protein localization to nucleolus</t>
  </si>
  <si>
    <t>GO:1990830;GO:1990823</t>
  </si>
  <si>
    <t>cellular response to leukemia inhibitory factor</t>
  </si>
  <si>
    <t>GO:2001251</t>
  </si>
  <si>
    <t>negative regulation of chromosome organization</t>
  </si>
  <si>
    <t>GO:2001252</t>
  </si>
  <si>
    <t>positive regulation of chromosome organization</t>
  </si>
  <si>
    <t>MF</t>
  </si>
  <si>
    <t>CC</t>
  </si>
  <si>
    <t>brown</t>
  </si>
  <si>
    <t>GO:0001960;GO:0060761</t>
  </si>
  <si>
    <t>negative regulation of response to cytokine stimulus</t>
  </si>
  <si>
    <t>GO:0002230;GO:0050691</t>
  </si>
  <si>
    <t>regulation of defense response to virus by host</t>
  </si>
  <si>
    <t>GO:0003279</t>
  </si>
  <si>
    <t>cardiac septum development</t>
  </si>
  <si>
    <t>GO:0006471</t>
  </si>
  <si>
    <t>protein ADP-ribosylation</t>
  </si>
  <si>
    <t>GO:0006497</t>
  </si>
  <si>
    <t>protein lipidation</t>
  </si>
  <si>
    <t>GO:0006501;GO:0018410</t>
  </si>
  <si>
    <t>C-terminal protein amino acid modification</t>
  </si>
  <si>
    <t>GO:0006939</t>
  </si>
  <si>
    <t>smooth muscle contraction</t>
  </si>
  <si>
    <t>GO:0007034;GO:0007041</t>
  </si>
  <si>
    <t>GO:0007156</t>
  </si>
  <si>
    <t>homophilic cell adhesion via plasma membrane adhesion molecules</t>
  </si>
  <si>
    <t>GO:0007169;GO:0007167</t>
  </si>
  <si>
    <t>enzyme linked receptor protein signaling pathway</t>
  </si>
  <si>
    <t>GO:0007368;GO:0009855;GO:0009799</t>
  </si>
  <si>
    <t>determination of bilateral symmetry</t>
  </si>
  <si>
    <t>GO:0007616</t>
  </si>
  <si>
    <t>long-term memory</t>
  </si>
  <si>
    <t>GO:0008038</t>
  </si>
  <si>
    <t>neuron recognition</t>
  </si>
  <si>
    <t>GO:0008333</t>
  </si>
  <si>
    <t>endosome to lysosome transport</t>
  </si>
  <si>
    <t>GO:0009968;GO:0010648;GO:0023057;GO:0048585</t>
  </si>
  <si>
    <t>GO:0010634</t>
  </si>
  <si>
    <t>positive regulation of epithelial cell migration</t>
  </si>
  <si>
    <t>GO:0010720</t>
  </si>
  <si>
    <t>positive regulation of cell development</t>
  </si>
  <si>
    <t>GO:0010955;GO:1903318</t>
  </si>
  <si>
    <t>negative regulation of protein processing</t>
  </si>
  <si>
    <t>GO:0010975;GO:0120035;GO:0031344</t>
  </si>
  <si>
    <t>GO:0014910</t>
  </si>
  <si>
    <t>regulation of smooth muscle cell migration</t>
  </si>
  <si>
    <t>GO:0016199;GO:0016198</t>
  </si>
  <si>
    <t>axon choice point recognition</t>
  </si>
  <si>
    <t>GO:0016525;GO:2000181;GO:1901343</t>
  </si>
  <si>
    <t>negative regulation of vasculature development</t>
  </si>
  <si>
    <t>GO:0018108;GO:0018212</t>
  </si>
  <si>
    <t>peptidyl-tyrosine modification</t>
  </si>
  <si>
    <t>GO:0023061</t>
  </si>
  <si>
    <t>signal release</t>
  </si>
  <si>
    <t>GO:0030335;GO:2000147;GO:0040017;GO:0051272</t>
  </si>
  <si>
    <t>positive regulation of locomotion</t>
  </si>
  <si>
    <t>GO:0031346</t>
  </si>
  <si>
    <t>positive regulation of cell projection organization</t>
  </si>
  <si>
    <t>GO:0031347</t>
  </si>
  <si>
    <t>regulation of defense response</t>
  </si>
  <si>
    <t>GO:0032101</t>
  </si>
  <si>
    <t>regulation of response to external stimulus</t>
  </si>
  <si>
    <t>GO:0032102</t>
  </si>
  <si>
    <t>negative regulation of response to external stimulus</t>
  </si>
  <si>
    <t>GO:0036120;GO:0036119</t>
  </si>
  <si>
    <t>response to platelet-derived growth factor</t>
  </si>
  <si>
    <t>GO:0038083</t>
  </si>
  <si>
    <t>peptidyl-tyrosine autophosphorylation</t>
  </si>
  <si>
    <t>GO:0042532;GO:0042509;GO:0042531</t>
  </si>
  <si>
    <t>regulation of tyrosine phosphorylation of STAT protein</t>
  </si>
  <si>
    <t>GO:0042742;GO:0009617</t>
  </si>
  <si>
    <t>response to bacterium</t>
  </si>
  <si>
    <t>GO:0043087</t>
  </si>
  <si>
    <t>regulation of GTPase activity</t>
  </si>
  <si>
    <t>GO:0043207;GO:0044419;GO:0009607</t>
  </si>
  <si>
    <t>GO:0045088</t>
  </si>
  <si>
    <t>regulation of innate immune response</t>
  </si>
  <si>
    <t>GO:0046426;GO:0046425;GO:1904893;GO:1904892</t>
  </si>
  <si>
    <t>regulation of receptor signaling pathway via STAT</t>
  </si>
  <si>
    <t>GO:0046777</t>
  </si>
  <si>
    <t>protein autophosphorylation</t>
  </si>
  <si>
    <t>GO:0048013</t>
  </si>
  <si>
    <t>ephrin receptor signaling pathway</t>
  </si>
  <si>
    <t>GO:0048584</t>
  </si>
  <si>
    <t>positive regulation of response to stimulus</t>
  </si>
  <si>
    <t>GO:0048666</t>
  </si>
  <si>
    <t>neuron development</t>
  </si>
  <si>
    <t>GO:0050731;GO:0050730</t>
  </si>
  <si>
    <t>regulation of peptidyl-tyrosine phosphorylation</t>
  </si>
  <si>
    <t>GO:0050732</t>
  </si>
  <si>
    <t>negative regulation of peptidyl-tyrosine phosphorylation</t>
  </si>
  <si>
    <t>GO:0050768;GO:0010721;GO:0051961</t>
  </si>
  <si>
    <t>negative regulation of nervous system development</t>
  </si>
  <si>
    <t>GO:0050769;GO:0051962</t>
  </si>
  <si>
    <t>positive regulation of nervous system development</t>
  </si>
  <si>
    <t>GO:0050770</t>
  </si>
  <si>
    <t>regulation of axonogenesis</t>
  </si>
  <si>
    <t>GO:0050773</t>
  </si>
  <si>
    <t>regulation of dendrite development</t>
  </si>
  <si>
    <t>GO:0050807</t>
  </si>
  <si>
    <t>GO:0050900</t>
  </si>
  <si>
    <t>leukocyte migration</t>
  </si>
  <si>
    <t>GO:0050920</t>
  </si>
  <si>
    <t>regulation of chemotaxis</t>
  </si>
  <si>
    <t>GO:0050922</t>
  </si>
  <si>
    <t>negative regulation of chemotaxis</t>
  </si>
  <si>
    <t>GO:0051004</t>
  </si>
  <si>
    <t>regulation of lipoprotein lipase activity</t>
  </si>
  <si>
    <t>GO:0051270;GO:0030334;GO:2000145;GO:0040012</t>
  </si>
  <si>
    <t>GO:0051865</t>
  </si>
  <si>
    <t>protein autoubiquitination</t>
  </si>
  <si>
    <t>GO:0051963</t>
  </si>
  <si>
    <t>regulation of synapse assembly</t>
  </si>
  <si>
    <t>GO:0051964;GO:1905809</t>
  </si>
  <si>
    <t>negative regulation of synapse assembly</t>
  </si>
  <si>
    <t>GO:0060284</t>
  </si>
  <si>
    <t>regulation of cell development</t>
  </si>
  <si>
    <t>GO:0060334;GO:0060330;GO:0060336;GO:0060331;GO:1902216;GO:1902214;GO:0070212</t>
  </si>
  <si>
    <t>protein poly-ADP-ribosylation</t>
  </si>
  <si>
    <t>GO:0060627</t>
  </si>
  <si>
    <t>regulation of vesicle-mediated transport</t>
  </si>
  <si>
    <t>GO:0098542;GO:0006952;GO:0051707</t>
  </si>
  <si>
    <t>GO:0098609</t>
  </si>
  <si>
    <t>cell-cell adhesion</t>
  </si>
  <si>
    <t>GO:0098742</t>
  </si>
  <si>
    <t>cell-cell adhesion via plasma-membrane adhesion molecules</t>
  </si>
  <si>
    <t>GO:1901888</t>
  </si>
  <si>
    <t>regulation of cell junction assembly</t>
  </si>
  <si>
    <t>GO:1901889</t>
  </si>
  <si>
    <t>negative regulation of cell junction assembly</t>
  </si>
  <si>
    <t>GO:1902966;GO:1902965;GO:1905668;GO:1905666</t>
  </si>
  <si>
    <t>positive regulation of protein localization to early endosome</t>
  </si>
  <si>
    <t>GO:1904754;GO:1904752</t>
  </si>
  <si>
    <t>regulation of vascular associated smooth muscle cell migration</t>
  </si>
  <si>
    <t>GO:1905906</t>
  </si>
  <si>
    <t>regulation of amyloid fibril formation</t>
  </si>
  <si>
    <t>GO:1905907</t>
  </si>
  <si>
    <t>negative regulation of amyloid fibril formation</t>
  </si>
  <si>
    <t>GO:0004713</t>
  </si>
  <si>
    <t>protein tyrosine kinase activity</t>
  </si>
  <si>
    <t>GO:0004715</t>
  </si>
  <si>
    <t>non-membrane spanning protein tyrosine kinase activity</t>
  </si>
  <si>
    <t>GO:0004842;GO:0019787</t>
  </si>
  <si>
    <t>ubiquitin-like protein transferase activity</t>
  </si>
  <si>
    <t>GO:0016763;GO:0003950</t>
  </si>
  <si>
    <t>pentosyltransferase activity</t>
  </si>
  <si>
    <t>GO:0070403</t>
  </si>
  <si>
    <t>NAD+ binding</t>
  </si>
  <si>
    <t>GO:0097677</t>
  </si>
  <si>
    <t>STAT family protein binding</t>
  </si>
  <si>
    <t>GO:0005604;GO:0062023</t>
  </si>
  <si>
    <t>collagen-containing extracellular matrix</t>
  </si>
  <si>
    <t>GO:0005794</t>
  </si>
  <si>
    <t>Golgi apparatus</t>
  </si>
  <si>
    <t>GO:0005796</t>
  </si>
  <si>
    <t>Golgi lumen</t>
  </si>
  <si>
    <t>GO:0005938</t>
  </si>
  <si>
    <t>cell cortex</t>
  </si>
  <si>
    <t>GO:0030054</t>
  </si>
  <si>
    <t>cell junction</t>
  </si>
  <si>
    <t>GO:0031012;GO:0030312</t>
  </si>
  <si>
    <t>external encapsulating structure</t>
  </si>
  <si>
    <t>GO:0031234</t>
  </si>
  <si>
    <t>extrinsic component of cytoplasmic side of plasma membrane</t>
  </si>
  <si>
    <t>GO:0031985</t>
  </si>
  <si>
    <t>Golgi cisterna</t>
  </si>
  <si>
    <t>GO:0032154</t>
  </si>
  <si>
    <t>cleavage furrow</t>
  </si>
  <si>
    <t>GO:0043025;GO:0044297</t>
  </si>
  <si>
    <t>cell body</t>
  </si>
  <si>
    <t>GO enrichment for DEGs shared by white and brown A.poculata (heated, control light)</t>
  </si>
  <si>
    <t>GO enrichment for DEGs unique to brown A.poculata (heated, control light)</t>
  </si>
  <si>
    <t>GO enrichment for DEGs shared by white and brown A.poculata (heated, high light)</t>
  </si>
  <si>
    <t>GO enrichment for DEGs unique to white A.poculata (heated, high light)</t>
  </si>
  <si>
    <t>GO enrichment for DEGs unique to brown A.poculata (heated, high light)</t>
  </si>
  <si>
    <t>GO enrichment for DEGs shared by white and brown A.poculata (heated, dark)</t>
  </si>
  <si>
    <t>GO enrichment for DEGs unique to white A.poculata (heated, dark)</t>
  </si>
  <si>
    <t>GO enrichment for DEGs unique to brown A.poculata (heated, dark)</t>
  </si>
  <si>
    <t>Summary of mapped reads per sample and corresponding mapping efficiencies</t>
  </si>
  <si>
    <t>S11</t>
  </si>
  <si>
    <t>Sample_ID</t>
  </si>
  <si>
    <t>Nubin_ID</t>
  </si>
  <si>
    <t>Genotype</t>
  </si>
  <si>
    <t>State</t>
  </si>
  <si>
    <t>Light Treatment</t>
  </si>
  <si>
    <t>Heat Treatment</t>
  </si>
  <si>
    <t>Raw Total Reads</t>
  </si>
  <si>
    <t>Trimmed Total Reads</t>
  </si>
  <si>
    <t>Mapped Reads to Holobiont</t>
  </si>
  <si>
    <t>% Mapped</t>
  </si>
  <si>
    <t>ACC_10</t>
  </si>
  <si>
    <t>10A</t>
  </si>
  <si>
    <t>Control</t>
  </si>
  <si>
    <t>ACH_10</t>
  </si>
  <si>
    <t>10B</t>
  </si>
  <si>
    <t>Heated</t>
  </si>
  <si>
    <t>ACC_11</t>
  </si>
  <si>
    <t>11A</t>
  </si>
  <si>
    <t>ACH_11</t>
  </si>
  <si>
    <t>11B</t>
  </si>
  <si>
    <t>ACC_12</t>
  </si>
  <si>
    <t>12A</t>
  </si>
  <si>
    <t>ACH_12</t>
  </si>
  <si>
    <t>12B</t>
  </si>
  <si>
    <t>ACC_13</t>
  </si>
  <si>
    <t>13A</t>
  </si>
  <si>
    <t>ACH_13</t>
  </si>
  <si>
    <t>13B</t>
  </si>
  <si>
    <t>ACC_14</t>
  </si>
  <si>
    <t>14A</t>
  </si>
  <si>
    <t>ACH_14</t>
  </si>
  <si>
    <t>14B</t>
  </si>
  <si>
    <t>ADC_15</t>
  </si>
  <si>
    <t>15A</t>
  </si>
  <si>
    <t>Dark</t>
  </si>
  <si>
    <t>ADH_15</t>
  </si>
  <si>
    <t>15B</t>
  </si>
  <si>
    <t>ADC_16</t>
  </si>
  <si>
    <t>16A</t>
  </si>
  <si>
    <t>ADH_16</t>
  </si>
  <si>
    <t>16B</t>
  </si>
  <si>
    <t>ADC_17</t>
  </si>
  <si>
    <t>17A</t>
  </si>
  <si>
    <t>ADH_17</t>
  </si>
  <si>
    <t>17B</t>
  </si>
  <si>
    <t>ADC_18</t>
  </si>
  <si>
    <t>18A</t>
  </si>
  <si>
    <t>ADC_19</t>
  </si>
  <si>
    <t>19A</t>
  </si>
  <si>
    <t>ADH_19</t>
  </si>
  <si>
    <t>19B</t>
  </si>
  <si>
    <t>AHC_1</t>
  </si>
  <si>
    <t>1A</t>
  </si>
  <si>
    <t>High Light</t>
  </si>
  <si>
    <t>AHH_1</t>
  </si>
  <si>
    <t>1B</t>
  </si>
  <si>
    <t>ADC_20</t>
  </si>
  <si>
    <t>20A</t>
  </si>
  <si>
    <t>ADH_20</t>
  </si>
  <si>
    <t>20B</t>
  </si>
  <si>
    <t>SHC_21</t>
  </si>
  <si>
    <t>21A</t>
  </si>
  <si>
    <t>SHH_21</t>
  </si>
  <si>
    <t>21B</t>
  </si>
  <si>
    <t>SHC_22</t>
  </si>
  <si>
    <t>22A</t>
  </si>
  <si>
    <t>SHH_22</t>
  </si>
  <si>
    <t>22B</t>
  </si>
  <si>
    <t>SHC_23</t>
  </si>
  <si>
    <t>23A</t>
  </si>
  <si>
    <t>SHH_23</t>
  </si>
  <si>
    <t>23B</t>
  </si>
  <si>
    <t>SHC_24</t>
  </si>
  <si>
    <t>24A</t>
  </si>
  <si>
    <t>SHH_24</t>
  </si>
  <si>
    <t>24B</t>
  </si>
  <si>
    <t>SHC_25</t>
  </si>
  <si>
    <t>25A</t>
  </si>
  <si>
    <t>SHH_25</t>
  </si>
  <si>
    <t>25B</t>
  </si>
  <si>
    <t>SHC_26</t>
  </si>
  <si>
    <t>26A</t>
  </si>
  <si>
    <t>SHH_26</t>
  </si>
  <si>
    <t>26B</t>
  </si>
  <si>
    <t>SCC_27</t>
  </si>
  <si>
    <t>27A</t>
  </si>
  <si>
    <t>SCH_27</t>
  </si>
  <si>
    <t>27B</t>
  </si>
  <si>
    <t>SCC_28</t>
  </si>
  <si>
    <t>28A</t>
  </si>
  <si>
    <t>SCH_28</t>
  </si>
  <si>
    <t>28B</t>
  </si>
  <si>
    <t>SCC_29</t>
  </si>
  <si>
    <t>29A</t>
  </si>
  <si>
    <t>SCH_29</t>
  </si>
  <si>
    <t>29B</t>
  </si>
  <si>
    <t>AHC_2</t>
  </si>
  <si>
    <t>2A</t>
  </si>
  <si>
    <t>AHH_2</t>
  </si>
  <si>
    <t>2B</t>
  </si>
  <si>
    <t>SCC_30</t>
  </si>
  <si>
    <t>30A</t>
  </si>
  <si>
    <t>SCC_31</t>
  </si>
  <si>
    <t>31A</t>
  </si>
  <si>
    <t>SCH_31</t>
  </si>
  <si>
    <t>31B</t>
  </si>
  <si>
    <t>SCC_32</t>
  </si>
  <si>
    <t>32A</t>
  </si>
  <si>
    <t>SCH_32</t>
  </si>
  <si>
    <t>32B</t>
  </si>
  <si>
    <t>SCC_33</t>
  </si>
  <si>
    <t>33A</t>
  </si>
  <si>
    <t>SCH_33</t>
  </si>
  <si>
    <t>33B</t>
  </si>
  <si>
    <t>SDC_34</t>
  </si>
  <si>
    <t>34A</t>
  </si>
  <si>
    <t>SDH_34</t>
  </si>
  <si>
    <t>34B</t>
  </si>
  <si>
    <t>SDC_35</t>
  </si>
  <si>
    <t>35A</t>
  </si>
  <si>
    <t>SDH_35</t>
  </si>
  <si>
    <t>35B</t>
  </si>
  <si>
    <t>SDC_36</t>
  </si>
  <si>
    <t>36A</t>
  </si>
  <si>
    <t>SDH_36</t>
  </si>
  <si>
    <t>36B</t>
  </si>
  <si>
    <t>SDC_37</t>
  </si>
  <si>
    <t>37A</t>
  </si>
  <si>
    <t>SDH_37</t>
  </si>
  <si>
    <t>37B</t>
  </si>
  <si>
    <t>SDC_38</t>
  </si>
  <si>
    <t>38A</t>
  </si>
  <si>
    <t>SDH_38</t>
  </si>
  <si>
    <t>38B</t>
  </si>
  <si>
    <t>SDC_39</t>
  </si>
  <si>
    <t>39A</t>
  </si>
  <si>
    <t>SDH_39</t>
  </si>
  <si>
    <t>39B</t>
  </si>
  <si>
    <t>AHC_3</t>
  </si>
  <si>
    <t>3A</t>
  </si>
  <si>
    <t>AHH_3</t>
  </si>
  <si>
    <t>3B</t>
  </si>
  <si>
    <t>ACC_40</t>
  </si>
  <si>
    <t>40A</t>
  </si>
  <si>
    <t>SCH_40</t>
  </si>
  <si>
    <t>40B</t>
  </si>
  <si>
    <t>AHC_4</t>
  </si>
  <si>
    <t>4A</t>
  </si>
  <si>
    <t>AHH_4</t>
  </si>
  <si>
    <t>4B</t>
  </si>
  <si>
    <t>AHH_5</t>
  </si>
  <si>
    <t>5B</t>
  </si>
  <si>
    <t>AHC_6</t>
  </si>
  <si>
    <t>6A</t>
  </si>
  <si>
    <t>AHH_6</t>
  </si>
  <si>
    <t>6B</t>
  </si>
  <si>
    <t>AHC_7</t>
  </si>
  <si>
    <t>7A</t>
  </si>
  <si>
    <t>AHH_7</t>
  </si>
  <si>
    <t>7B</t>
  </si>
  <si>
    <t>ACC_8</t>
  </si>
  <si>
    <t>8A</t>
  </si>
  <si>
    <t>ACH_8</t>
  </si>
  <si>
    <t>8B</t>
  </si>
  <si>
    <t>ACC_9</t>
  </si>
  <si>
    <t>9A</t>
  </si>
  <si>
    <t>ACH_9</t>
  </si>
  <si>
    <t>9B</t>
  </si>
  <si>
    <t>SD</t>
  </si>
  <si>
    <t>White</t>
  </si>
  <si>
    <t>Brown</t>
  </si>
  <si>
    <t>Average</t>
  </si>
  <si>
    <t>#GO enrichment of genes contrasting brown and white A. poculata (control temperature, control light)</t>
  </si>
  <si>
    <t>#delta.rank = the difference in the mean rank for the GO term and the mean rank for all other genes. Larger negative values indicate tendency toward downregulation under stress. Positive values indicate tendency toward upregulation.</t>
  </si>
  <si>
    <t>GO:0006612</t>
  </si>
  <si>
    <t>protein targeting to membrane</t>
  </si>
  <si>
    <t>GO:0006613;GO:0045047;GO:0006614</t>
  </si>
  <si>
    <t>protein targeting to ER</t>
  </si>
  <si>
    <t>GO:0006631</t>
  </si>
  <si>
    <t>fatty acid metabolic process</t>
  </si>
  <si>
    <t>GO:0006940</t>
  </si>
  <si>
    <t>regulation of smooth muscle contraction</t>
  </si>
  <si>
    <t>GO:0007186</t>
  </si>
  <si>
    <t>G protein-coupled receptor signaling pathway</t>
  </si>
  <si>
    <t>GO:0007189;GO:0007188</t>
  </si>
  <si>
    <t>adenylate cyclase-modulating G protein-coupled receptor signaling pathway</t>
  </si>
  <si>
    <t>GO:0014049;GO:0014048</t>
  </si>
  <si>
    <t>regulation of glutamate secretion</t>
  </si>
  <si>
    <t>GO:0019395;GO:0034440</t>
  </si>
  <si>
    <t>fatty acid oxidation</t>
  </si>
  <si>
    <t>GO:0019835</t>
  </si>
  <si>
    <t>cytolysis</t>
  </si>
  <si>
    <t>GO:0032365;GO:0032367;GO:0032366</t>
  </si>
  <si>
    <t>intracellular lipid transport</t>
  </si>
  <si>
    <t>GO:0032787</t>
  </si>
  <si>
    <t>monocarboxylic acid metabolic process</t>
  </si>
  <si>
    <t>GO:0042446</t>
  </si>
  <si>
    <t>hormone biosynthetic process</t>
  </si>
  <si>
    <t>GO:0044057</t>
  </si>
  <si>
    <t>regulation of system process</t>
  </si>
  <si>
    <t>GO:0072599;GO:0070972</t>
  </si>
  <si>
    <t>protein localization to endoplasmic reticulum</t>
  </si>
  <si>
    <t>GO:0097746;GO:0003018;GO:0035296;GO:0003013;GO:0035150</t>
  </si>
  <si>
    <t>circulatory system process</t>
  </si>
  <si>
    <t>unknown</t>
  </si>
  <si>
    <t>regulation of protein modification process</t>
  </si>
  <si>
    <t>GO:0001953</t>
  </si>
  <si>
    <t>negative regulation of cell-matrix adhesion</t>
  </si>
  <si>
    <t>GO:0006470;GO:0016311</t>
  </si>
  <si>
    <t>dephosphorylation</t>
  </si>
  <si>
    <t>GO:0006508</t>
  </si>
  <si>
    <t>proteolysis</t>
  </si>
  <si>
    <t>GO:0007010</t>
  </si>
  <si>
    <t>cytoskeleton organization</t>
  </si>
  <si>
    <t>GO:0007167;GO:0007169</t>
  </si>
  <si>
    <t>GO:0007276;GO:0007283;GO:0048232</t>
  </si>
  <si>
    <t>gamete generation</t>
  </si>
  <si>
    <t>GO:0009888</t>
  </si>
  <si>
    <t>tissue development</t>
  </si>
  <si>
    <t>GO:0009967;GO:0010647;GO:0023056</t>
  </si>
  <si>
    <t>positive regulation of cell communication</t>
  </si>
  <si>
    <t>GO:0010604;GO:0009893;GO:0031325;GO:0051173</t>
  </si>
  <si>
    <t>GO:0010646;GO:0023051;GO:0009966</t>
  </si>
  <si>
    <t>regulation of signaling</t>
  </si>
  <si>
    <t>GO:0010977;GO:0031345</t>
  </si>
  <si>
    <t>negative regulation of cell projection organization</t>
  </si>
  <si>
    <t>GO:0018105;GO:0018209</t>
  </si>
  <si>
    <t>peptidyl-serine modification</t>
  </si>
  <si>
    <t>GO:0018107;GO:0018210</t>
  </si>
  <si>
    <t>peptidyl-threonine modification</t>
  </si>
  <si>
    <t>GO:0019886;GO:0002495;GO:0002504</t>
  </si>
  <si>
    <t>antigen processing and presentation of peptide or polysaccharide antigen via MHC class II</t>
  </si>
  <si>
    <t>GO:0030334;GO:2000145;GO:0040012;GO:0051270</t>
  </si>
  <si>
    <t>GO:0030433;GO:0036503</t>
  </si>
  <si>
    <t>ERAD pathway</t>
  </si>
  <si>
    <t>GO:0034329</t>
  </si>
  <si>
    <t>cell junction assembly</t>
  </si>
  <si>
    <t>GO:0034976</t>
  </si>
  <si>
    <t>response to endoplasmic reticulum stress</t>
  </si>
  <si>
    <t>GO:0035107</t>
  </si>
  <si>
    <t>appendage morphogenesis</t>
  </si>
  <si>
    <t>GO:0035278;GO:0035195;GO:0040033;GO:0035194;GO:0016441;GO:0010586;GO:0021915;GO:0072089</t>
  </si>
  <si>
    <t>neural tube development</t>
  </si>
  <si>
    <t>GO:0042127</t>
  </si>
  <si>
    <t>regulation of cell population proliferation</t>
  </si>
  <si>
    <t>GO:0043433</t>
  </si>
  <si>
    <t>negative regulation of DNA-binding transcription factor activity</t>
  </si>
  <si>
    <t>GO:0044068;GO:0019054</t>
  </si>
  <si>
    <t>modulation by symbiont of host cellular process</t>
  </si>
  <si>
    <t>GO:0045596</t>
  </si>
  <si>
    <t>negative regulation of cell differentiation</t>
  </si>
  <si>
    <t>GO:0045664</t>
  </si>
  <si>
    <t>regulation of neuron differentiation</t>
  </si>
  <si>
    <t>GO:0048002;GO:0019882</t>
  </si>
  <si>
    <t>antigen processing and presentation</t>
  </si>
  <si>
    <t>GO:0048469</t>
  </si>
  <si>
    <t>cell maturation</t>
  </si>
  <si>
    <t>GO:0048609</t>
  </si>
  <si>
    <t>multicellular organismal reproductive process</t>
  </si>
  <si>
    <t>GO:0048812;GO:0120039;GO:0048858;GO:0032990;GO:0032989</t>
  </si>
  <si>
    <t>cell part morphogenesis</t>
  </si>
  <si>
    <t>GO:0048813</t>
  </si>
  <si>
    <t>dendrite morphogenesis</t>
  </si>
  <si>
    <t>GO:0050690</t>
  </si>
  <si>
    <t>regulation of defense response to virus by virus</t>
  </si>
  <si>
    <t>GO:0050768;GO:0010721</t>
  </si>
  <si>
    <t>negative regulation of cell development</t>
  </si>
  <si>
    <t>defense response to symbiont</t>
  </si>
  <si>
    <t>GO:0051961</t>
  </si>
  <si>
    <t>GO:0051962</t>
  </si>
  <si>
    <t>GO:0060429</t>
  </si>
  <si>
    <t>epithelium development</t>
  </si>
  <si>
    <t>GO:0070647;GO:0016567;GO:0032446</t>
  </si>
  <si>
    <t>GO:0071364;GO:0070849</t>
  </si>
  <si>
    <t>response to epidermal growth factor</t>
  </si>
  <si>
    <t>GO:0071479</t>
  </si>
  <si>
    <t>cellular response to ionizing radiation</t>
  </si>
  <si>
    <t>GO:0071695;GO:0021700</t>
  </si>
  <si>
    <t>developmental maturation</t>
  </si>
  <si>
    <t>GO:0090263;GO:0030177</t>
  </si>
  <si>
    <t>positive regulation of Wnt signaling pathway</t>
  </si>
  <si>
    <t>GO:1901654</t>
  </si>
  <si>
    <t>response to ketone</t>
  </si>
  <si>
    <t>GO:1902041</t>
  </si>
  <si>
    <t>regulation of extrinsic apoptotic signaling pathway via death domain receptors</t>
  </si>
  <si>
    <t>GO:1902531</t>
  </si>
  <si>
    <t>regulation of intracellular signal transduction</t>
  </si>
  <si>
    <t>S12</t>
  </si>
  <si>
    <t>GO enrichment of genes contrasting brown and white A. poculata (control temperature, control light)</t>
  </si>
  <si>
    <t>category</t>
  </si>
  <si>
    <t>carbohydrate metabolism</t>
  </si>
  <si>
    <t>#category = general biological process category highlighted in the results section</t>
  </si>
  <si>
    <t>-</t>
  </si>
  <si>
    <t>peptide metabolism</t>
  </si>
  <si>
    <t>lipid metabolism</t>
  </si>
  <si>
    <t>protein &amp; peptide metabolism</t>
  </si>
  <si>
    <t>amino acid regulation</t>
  </si>
  <si>
    <t>cell cycle regulation</t>
  </si>
  <si>
    <t>stress</t>
  </si>
  <si>
    <t>immunity</t>
  </si>
  <si>
    <t>protein metabolism</t>
  </si>
  <si>
    <t>amino acid metabolism</t>
  </si>
  <si>
    <t>glutamine metabolism</t>
  </si>
  <si>
    <r>
      <t xml:space="preserve">#category = general biological process category highlighted in the </t>
    </r>
    <r>
      <rPr>
        <i/>
        <sz val="12"/>
        <color theme="1"/>
        <rFont val="Aptos Narrow"/>
        <scheme val="minor"/>
      </rPr>
      <t>Results</t>
    </r>
    <r>
      <rPr>
        <sz val="12"/>
        <color theme="1"/>
        <rFont val="Aptos Narrow"/>
        <family val="2"/>
        <scheme val="minor"/>
      </rPr>
      <t xml:space="preserve"> section</t>
    </r>
  </si>
  <si>
    <r>
      <t>carbohydrate metabolism</t>
    </r>
    <r>
      <rPr>
        <sz val="12"/>
        <color rgb="FFFF0000"/>
        <rFont val="Times New Roman"/>
        <family val="1"/>
      </rPr>
      <t xml:space="preserve"> </t>
    </r>
    <r>
      <rPr>
        <sz val="12"/>
        <color theme="1"/>
        <rFont val="Times New Roman"/>
        <family val="1"/>
      </rPr>
      <t xml:space="preserve">and lipid transport </t>
    </r>
  </si>
  <si>
    <t xml:space="preserve">cell cycle regulation and protein metabolism </t>
  </si>
  <si>
    <t>amide metabolism</t>
  </si>
  <si>
    <t xml:space="preserve"> prostaglandin metabolism</t>
  </si>
  <si>
    <t>fatty acid metabolism</t>
  </si>
  <si>
    <t>peptide transport</t>
  </si>
  <si>
    <t>cell adhesion</t>
  </si>
  <si>
    <t>ECM</t>
  </si>
  <si>
    <t>cell-cell communication</t>
  </si>
  <si>
    <t>GO enrichment for WGCNA "yellow" module</t>
  </si>
  <si>
    <t>GO enrichment for WGCNA "brown" module</t>
  </si>
  <si>
    <t>#GO enrichment for WGCNA "yellow" module</t>
  </si>
  <si>
    <t>#GO enrichment for WGCNA "brown"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</si>
</sst>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scheme val="minor"/>
    </font>
    <font>
      <i/>
      <sz val="12"/>
      <color theme="1"/>
      <name val="Aptos Narrow"/>
      <scheme val="minor"/>
    </font>
    <font>
      <b/>
      <sz val="12"/>
      <color theme="1"/>
      <name val="Aptos Narrow"/>
      <family val="2"/>
      <scheme val="minor"/>
    </font>
    <font>
      <sz val="12"/>
      <color theme="1"/>
      <name val="Aptos Narrow"/>
      <scheme val="minor"/>
    </font>
    <font>
      <sz val="8"/>
      <name val="Aptos Narrow"/>
      <family val="2"/>
      <scheme val="minor"/>
    </font>
    <font>
      <sz val="12"/>
      <color theme="1"/>
      <name val="Times New Roman"/>
      <family val="1"/>
    </font>
    <font>
      <sz val="12"/>
      <color rgb="FFFF0000"/>
      <name val="Times New Roman"/>
      <family val="1"/>
    </font>
    <font>
      <sz val="12"/>
      <color rgb="FF000000"/>
      <name val="Aptos Narrow"/>
      <family val="2"/>
      <scheme val="minor"/>
    </font>
  </fonts>
  <fills count="2">
    <fill>
      <patternFill patternType="none"/>
    </fill>
    <fill>
      <patternFill patternType="gray125"/>
    </fill>
  </fills>
  <borders count="4">
    <border>
      <left/>
      <right/>
      <top/>
      <bottom/>
      <diagonal/>
    </border>
    <border>
      <left/>
      <right/>
      <top style="medium">
        <color auto="1"/>
      </top>
      <bottom style="medium">
        <color auto="1"/>
      </bottom>
      <diagonal/>
    </border>
    <border>
      <left/>
      <right/>
      <top/>
      <bottom style="medium">
        <color indexed="64"/>
      </bottom>
      <diagonal/>
    </border>
    <border>
      <left/>
      <right/>
      <top style="medium">
        <color indexed="64"/>
      </top>
      <bottom/>
      <diagonal/>
    </border>
  </borders>
  <cellStyleXfs count="1">
    <xf numFmtId="0" fontId="0" fillId="0" borderId="0"/>
  </cellStyleXfs>
  <cellXfs count="14">
    <xf numFmtId="0" fontId="0" fillId="0" borderId="0" xfId="0"/>
    <xf numFmtId="11" fontId="0" fillId="0" borderId="0" xfId="0" applyNumberFormat="1"/>
    <xf numFmtId="0" fontId="1" fillId="0" borderId="1" xfId="0" applyFont="1" applyBorder="1"/>
    <xf numFmtId="0" fontId="0" fillId="0" borderId="2" xfId="0" applyBorder="1"/>
    <xf numFmtId="0" fontId="4" fillId="0" borderId="0" xfId="0" applyFont="1"/>
    <xf numFmtId="0" fontId="0" fillId="0" borderId="0" xfId="0" applyAlignment="1">
      <alignment horizontal="center"/>
    </xf>
    <xf numFmtId="0" fontId="3" fillId="0" borderId="2"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3" xfId="0" applyFont="1" applyBorder="1" applyAlignment="1">
      <alignment horizontal="center"/>
    </xf>
    <xf numFmtId="0" fontId="1" fillId="0" borderId="2" xfId="0" applyFont="1" applyBorder="1" applyAlignment="1">
      <alignment horizontal="center"/>
    </xf>
    <xf numFmtId="0" fontId="1" fillId="0" borderId="1" xfId="0" applyFont="1" applyBorder="1" applyAlignment="1">
      <alignment horizontal="left"/>
    </xf>
    <xf numFmtId="0" fontId="6"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B6B35-191E-A34E-8D66-4C10C69376D3}">
  <dimension ref="A1:B13"/>
  <sheetViews>
    <sheetView workbookViewId="0">
      <selection activeCell="B20" sqref="B20"/>
    </sheetView>
  </sheetViews>
  <sheetFormatPr baseColWidth="10" defaultRowHeight="16" x14ac:dyDescent="0.2"/>
  <cols>
    <col min="2" max="2" width="87.5" customWidth="1"/>
  </cols>
  <sheetData>
    <row r="1" spans="1:2" ht="17" thickBot="1" x14ac:dyDescent="0.25">
      <c r="A1" s="2" t="s">
        <v>1035</v>
      </c>
      <c r="B1" s="2" t="s">
        <v>1024</v>
      </c>
    </row>
    <row r="2" spans="1:2" x14ac:dyDescent="0.2">
      <c r="A2" s="4" t="s">
        <v>1025</v>
      </c>
      <c r="B2" s="4" t="s">
        <v>1356</v>
      </c>
    </row>
    <row r="3" spans="1:2" x14ac:dyDescent="0.2">
      <c r="A3" t="s">
        <v>1026</v>
      </c>
      <c r="B3" t="s">
        <v>1646</v>
      </c>
    </row>
    <row r="4" spans="1:2" x14ac:dyDescent="0.2">
      <c r="A4" t="s">
        <v>1027</v>
      </c>
      <c r="B4" t="s">
        <v>1348</v>
      </c>
    </row>
    <row r="5" spans="1:2" x14ac:dyDescent="0.2">
      <c r="A5" t="s">
        <v>1028</v>
      </c>
      <c r="B5" t="s">
        <v>1349</v>
      </c>
    </row>
    <row r="6" spans="1:2" x14ac:dyDescent="0.2">
      <c r="A6" t="s">
        <v>1029</v>
      </c>
      <c r="B6" t="s">
        <v>1350</v>
      </c>
    </row>
    <row r="7" spans="1:2" x14ac:dyDescent="0.2">
      <c r="A7" t="s">
        <v>1030</v>
      </c>
      <c r="B7" t="s">
        <v>1351</v>
      </c>
    </row>
    <row r="8" spans="1:2" x14ac:dyDescent="0.2">
      <c r="A8" t="s">
        <v>1031</v>
      </c>
      <c r="B8" t="s">
        <v>1352</v>
      </c>
    </row>
    <row r="9" spans="1:2" x14ac:dyDescent="0.2">
      <c r="A9" t="s">
        <v>1032</v>
      </c>
      <c r="B9" t="s">
        <v>1671</v>
      </c>
    </row>
    <row r="10" spans="1:2" x14ac:dyDescent="0.2">
      <c r="A10" t="s">
        <v>1033</v>
      </c>
      <c r="B10" t="s">
        <v>1353</v>
      </c>
    </row>
    <row r="11" spans="1:2" x14ac:dyDescent="0.2">
      <c r="A11" t="s">
        <v>1034</v>
      </c>
      <c r="B11" t="s">
        <v>1354</v>
      </c>
    </row>
    <row r="12" spans="1:2" x14ac:dyDescent="0.2">
      <c r="A12" t="s">
        <v>1357</v>
      </c>
      <c r="B12" t="s">
        <v>1672</v>
      </c>
    </row>
    <row r="13" spans="1:2" ht="17" thickBot="1" x14ac:dyDescent="0.25">
      <c r="A13" s="3" t="s">
        <v>1645</v>
      </c>
      <c r="B13" s="3" t="s">
        <v>1355</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11C64-9B5B-D64D-9FA4-F680E18D8AA6}">
  <dimension ref="A1:J80"/>
  <sheetViews>
    <sheetView workbookViewId="0">
      <selection activeCell="L81" sqref="L81"/>
    </sheetView>
  </sheetViews>
  <sheetFormatPr baseColWidth="10" defaultRowHeight="16" x14ac:dyDescent="0.2"/>
  <cols>
    <col min="5" max="5" width="19.1640625" customWidth="1"/>
    <col min="6" max="6" width="15.83203125" customWidth="1"/>
    <col min="7" max="7" width="17.83203125" customWidth="1"/>
    <col min="8" max="8" width="25.5" customWidth="1"/>
    <col min="9" max="9" width="25.33203125" customWidth="1"/>
    <col min="10" max="10" width="13" customWidth="1"/>
  </cols>
  <sheetData>
    <row r="1" spans="1:10" ht="17" thickBot="1" x14ac:dyDescent="0.25">
      <c r="A1" s="6" t="s">
        <v>1358</v>
      </c>
      <c r="B1" s="6" t="s">
        <v>1359</v>
      </c>
      <c r="C1" s="6" t="s">
        <v>1360</v>
      </c>
      <c r="D1" s="6" t="s">
        <v>1361</v>
      </c>
      <c r="E1" s="6" t="s">
        <v>1362</v>
      </c>
      <c r="F1" s="6" t="s">
        <v>1363</v>
      </c>
      <c r="G1" s="6" t="s">
        <v>1364</v>
      </c>
      <c r="H1" s="6" t="s">
        <v>1365</v>
      </c>
      <c r="I1" s="6" t="s">
        <v>1366</v>
      </c>
      <c r="J1" s="6" t="s">
        <v>1367</v>
      </c>
    </row>
    <row r="2" spans="1:10" x14ac:dyDescent="0.2">
      <c r="A2" s="5" t="s">
        <v>1368</v>
      </c>
      <c r="B2" s="5" t="s">
        <v>1369</v>
      </c>
      <c r="C2" s="5">
        <v>10</v>
      </c>
      <c r="D2" s="5" t="s">
        <v>1527</v>
      </c>
      <c r="E2" s="5" t="s">
        <v>1370</v>
      </c>
      <c r="F2" s="5" t="s">
        <v>1370</v>
      </c>
      <c r="G2" s="5">
        <v>9667087</v>
      </c>
      <c r="H2" s="5">
        <v>2375796</v>
      </c>
      <c r="I2" s="5">
        <v>1608783</v>
      </c>
      <c r="J2" s="5">
        <f>(I2/H2)*100</f>
        <v>67.715536182399489</v>
      </c>
    </row>
    <row r="3" spans="1:10" x14ac:dyDescent="0.2">
      <c r="A3" s="5" t="s">
        <v>1371</v>
      </c>
      <c r="B3" s="5" t="s">
        <v>1372</v>
      </c>
      <c r="C3" s="5">
        <v>10</v>
      </c>
      <c r="D3" s="5" t="s">
        <v>1527</v>
      </c>
      <c r="E3" s="5" t="s">
        <v>1370</v>
      </c>
      <c r="F3" s="5" t="s">
        <v>1373</v>
      </c>
      <c r="G3" s="5">
        <v>5332552</v>
      </c>
      <c r="H3" s="5">
        <v>1477473</v>
      </c>
      <c r="I3" s="5">
        <v>1150596</v>
      </c>
      <c r="J3" s="5">
        <f t="shared" ref="J3:J65" si="0">(I3/H3)*100</f>
        <v>77.875940880137904</v>
      </c>
    </row>
    <row r="4" spans="1:10" x14ac:dyDescent="0.2">
      <c r="A4" s="5" t="s">
        <v>1374</v>
      </c>
      <c r="B4" s="5" t="s">
        <v>1375</v>
      </c>
      <c r="C4" s="5">
        <v>11</v>
      </c>
      <c r="D4" s="5" t="s">
        <v>1527</v>
      </c>
      <c r="E4" s="5" t="s">
        <v>1370</v>
      </c>
      <c r="F4" s="5" t="s">
        <v>1370</v>
      </c>
      <c r="G4" s="5">
        <v>5836036</v>
      </c>
      <c r="H4" s="5">
        <v>1396927</v>
      </c>
      <c r="I4" s="5">
        <v>1214895</v>
      </c>
      <c r="J4" s="5">
        <f t="shared" si="0"/>
        <v>86.96911148542479</v>
      </c>
    </row>
    <row r="5" spans="1:10" x14ac:dyDescent="0.2">
      <c r="A5" s="5" t="s">
        <v>1376</v>
      </c>
      <c r="B5" s="5" t="s">
        <v>1377</v>
      </c>
      <c r="C5" s="5">
        <v>11</v>
      </c>
      <c r="D5" s="5" t="s">
        <v>1527</v>
      </c>
      <c r="E5" s="5" t="s">
        <v>1370</v>
      </c>
      <c r="F5" s="5" t="s">
        <v>1373</v>
      </c>
      <c r="G5" s="5">
        <v>6604539</v>
      </c>
      <c r="H5" s="5">
        <v>1318099</v>
      </c>
      <c r="I5" s="5">
        <v>1096093</v>
      </c>
      <c r="J5" s="5">
        <f t="shared" si="0"/>
        <v>83.157107318949485</v>
      </c>
    </row>
    <row r="6" spans="1:10" x14ac:dyDescent="0.2">
      <c r="A6" s="5" t="s">
        <v>1378</v>
      </c>
      <c r="B6" s="5" t="s">
        <v>1379</v>
      </c>
      <c r="C6" s="5">
        <v>12</v>
      </c>
      <c r="D6" s="5" t="s">
        <v>1527</v>
      </c>
      <c r="E6" s="5" t="s">
        <v>1370</v>
      </c>
      <c r="F6" s="5" t="s">
        <v>1370</v>
      </c>
      <c r="G6" s="5">
        <v>7839463</v>
      </c>
      <c r="H6" s="5">
        <v>1989021</v>
      </c>
      <c r="I6" s="5">
        <v>1586950</v>
      </c>
      <c r="J6" s="5">
        <f t="shared" si="0"/>
        <v>79.785482405665903</v>
      </c>
    </row>
    <row r="7" spans="1:10" x14ac:dyDescent="0.2">
      <c r="A7" s="5" t="s">
        <v>1380</v>
      </c>
      <c r="B7" s="5" t="s">
        <v>1381</v>
      </c>
      <c r="C7" s="5">
        <v>12</v>
      </c>
      <c r="D7" s="5" t="s">
        <v>1527</v>
      </c>
      <c r="E7" s="5" t="s">
        <v>1370</v>
      </c>
      <c r="F7" s="5" t="s">
        <v>1373</v>
      </c>
      <c r="G7" s="5">
        <v>5300272</v>
      </c>
      <c r="H7" s="5">
        <v>1588507</v>
      </c>
      <c r="I7" s="5">
        <v>448603</v>
      </c>
      <c r="J7" s="5">
        <f t="shared" si="0"/>
        <v>28.240542849354771</v>
      </c>
    </row>
    <row r="8" spans="1:10" x14ac:dyDescent="0.2">
      <c r="A8" s="5" t="s">
        <v>1382</v>
      </c>
      <c r="B8" s="5" t="s">
        <v>1383</v>
      </c>
      <c r="C8" s="5">
        <v>13</v>
      </c>
      <c r="D8" s="5" t="s">
        <v>1527</v>
      </c>
      <c r="E8" s="5" t="s">
        <v>1370</v>
      </c>
      <c r="F8" s="5" t="s">
        <v>1370</v>
      </c>
      <c r="G8" s="5">
        <v>5963539</v>
      </c>
      <c r="H8" s="5">
        <v>1366656</v>
      </c>
      <c r="I8" s="5">
        <v>1061162</v>
      </c>
      <c r="J8" s="5">
        <f t="shared" si="0"/>
        <v>77.646606022290911</v>
      </c>
    </row>
    <row r="9" spans="1:10" x14ac:dyDescent="0.2">
      <c r="A9" s="5" t="s">
        <v>1384</v>
      </c>
      <c r="B9" s="5" t="s">
        <v>1385</v>
      </c>
      <c r="C9" s="5">
        <v>13</v>
      </c>
      <c r="D9" s="5" t="s">
        <v>1527</v>
      </c>
      <c r="E9" s="5" t="s">
        <v>1370</v>
      </c>
      <c r="F9" s="5" t="s">
        <v>1373</v>
      </c>
      <c r="G9" s="5">
        <v>6604593</v>
      </c>
      <c r="H9" s="5">
        <v>1720564</v>
      </c>
      <c r="I9" s="5">
        <v>860309</v>
      </c>
      <c r="J9" s="5">
        <f t="shared" si="0"/>
        <v>50.001569252872891</v>
      </c>
    </row>
    <row r="10" spans="1:10" x14ac:dyDescent="0.2">
      <c r="A10" s="5" t="s">
        <v>1386</v>
      </c>
      <c r="B10" s="5" t="s">
        <v>1387</v>
      </c>
      <c r="C10" s="5">
        <v>14</v>
      </c>
      <c r="D10" s="5" t="s">
        <v>1527</v>
      </c>
      <c r="E10" s="5" t="s">
        <v>1370</v>
      </c>
      <c r="F10" s="5" t="s">
        <v>1370</v>
      </c>
      <c r="G10" s="5">
        <v>6007047</v>
      </c>
      <c r="H10" s="5">
        <v>1393152</v>
      </c>
      <c r="I10" s="5">
        <v>1108083</v>
      </c>
      <c r="J10" s="5">
        <f t="shared" si="0"/>
        <v>79.53783937431092</v>
      </c>
    </row>
    <row r="11" spans="1:10" x14ac:dyDescent="0.2">
      <c r="A11" s="5" t="s">
        <v>1388</v>
      </c>
      <c r="B11" s="5" t="s">
        <v>1389</v>
      </c>
      <c r="C11" s="5">
        <v>14</v>
      </c>
      <c r="D11" s="5" t="s">
        <v>1527</v>
      </c>
      <c r="E11" s="5" t="s">
        <v>1370</v>
      </c>
      <c r="F11" s="5" t="s">
        <v>1373</v>
      </c>
      <c r="G11" s="5">
        <v>6323372</v>
      </c>
      <c r="H11" s="5">
        <v>1408291</v>
      </c>
      <c r="I11" s="5">
        <v>1200125</v>
      </c>
      <c r="J11" s="5">
        <f t="shared" si="0"/>
        <v>85.218537930015884</v>
      </c>
    </row>
    <row r="12" spans="1:10" x14ac:dyDescent="0.2">
      <c r="A12" s="5" t="s">
        <v>1390</v>
      </c>
      <c r="B12" s="5" t="s">
        <v>1391</v>
      </c>
      <c r="C12" s="5">
        <v>15</v>
      </c>
      <c r="D12" s="5" t="s">
        <v>1527</v>
      </c>
      <c r="E12" s="5" t="s">
        <v>1392</v>
      </c>
      <c r="F12" s="5" t="s">
        <v>1370</v>
      </c>
      <c r="G12" s="5">
        <v>6316982</v>
      </c>
      <c r="H12" s="5">
        <v>1428720</v>
      </c>
      <c r="I12" s="5">
        <v>1228667</v>
      </c>
      <c r="J12" s="5">
        <f t="shared" si="0"/>
        <v>85.997746234391627</v>
      </c>
    </row>
    <row r="13" spans="1:10" x14ac:dyDescent="0.2">
      <c r="A13" s="5" t="s">
        <v>1393</v>
      </c>
      <c r="B13" s="5" t="s">
        <v>1394</v>
      </c>
      <c r="C13" s="5">
        <v>15</v>
      </c>
      <c r="D13" s="5" t="s">
        <v>1527</v>
      </c>
      <c r="E13" s="5" t="s">
        <v>1392</v>
      </c>
      <c r="F13" s="5" t="s">
        <v>1373</v>
      </c>
      <c r="G13" s="5">
        <v>5735036</v>
      </c>
      <c r="H13" s="5">
        <v>1604849</v>
      </c>
      <c r="I13" s="5">
        <v>610702</v>
      </c>
      <c r="J13" s="5">
        <f t="shared" si="0"/>
        <v>38.053548963173483</v>
      </c>
    </row>
    <row r="14" spans="1:10" x14ac:dyDescent="0.2">
      <c r="A14" s="5" t="s">
        <v>1395</v>
      </c>
      <c r="B14" s="5" t="s">
        <v>1396</v>
      </c>
      <c r="C14" s="5">
        <v>16</v>
      </c>
      <c r="D14" s="5" t="s">
        <v>1527</v>
      </c>
      <c r="E14" s="5" t="s">
        <v>1392</v>
      </c>
      <c r="F14" s="5" t="s">
        <v>1370</v>
      </c>
      <c r="G14" s="5">
        <v>5724775</v>
      </c>
      <c r="H14" s="5">
        <v>1200136</v>
      </c>
      <c r="I14" s="5">
        <v>1027573</v>
      </c>
      <c r="J14" s="5">
        <f t="shared" si="0"/>
        <v>85.621379576981269</v>
      </c>
    </row>
    <row r="15" spans="1:10" x14ac:dyDescent="0.2">
      <c r="A15" s="5" t="s">
        <v>1397</v>
      </c>
      <c r="B15" s="5" t="s">
        <v>1398</v>
      </c>
      <c r="C15" s="5">
        <v>16</v>
      </c>
      <c r="D15" s="5" t="s">
        <v>1527</v>
      </c>
      <c r="E15" s="5" t="s">
        <v>1392</v>
      </c>
      <c r="F15" s="5" t="s">
        <v>1373</v>
      </c>
      <c r="G15" s="5">
        <v>5808464</v>
      </c>
      <c r="H15" s="5">
        <v>1170939</v>
      </c>
      <c r="I15" s="5">
        <v>721353</v>
      </c>
      <c r="J15" s="5">
        <f t="shared" si="0"/>
        <v>61.604660874733867</v>
      </c>
    </row>
    <row r="16" spans="1:10" x14ac:dyDescent="0.2">
      <c r="A16" s="5" t="s">
        <v>1399</v>
      </c>
      <c r="B16" s="5" t="s">
        <v>1400</v>
      </c>
      <c r="C16" s="5">
        <v>17</v>
      </c>
      <c r="D16" s="5" t="s">
        <v>1527</v>
      </c>
      <c r="E16" s="5" t="s">
        <v>1392</v>
      </c>
      <c r="F16" s="5" t="s">
        <v>1370</v>
      </c>
      <c r="G16" s="5">
        <v>5674621</v>
      </c>
      <c r="H16" s="5">
        <v>1387945</v>
      </c>
      <c r="I16" s="5">
        <v>1205524</v>
      </c>
      <c r="J16" s="5">
        <f t="shared" si="0"/>
        <v>86.856755851276517</v>
      </c>
    </row>
    <row r="17" spans="1:10" x14ac:dyDescent="0.2">
      <c r="A17" s="5" t="s">
        <v>1401</v>
      </c>
      <c r="B17" s="5" t="s">
        <v>1402</v>
      </c>
      <c r="C17" s="5">
        <v>17</v>
      </c>
      <c r="D17" s="5" t="s">
        <v>1527</v>
      </c>
      <c r="E17" s="5" t="s">
        <v>1392</v>
      </c>
      <c r="F17" s="5" t="s">
        <v>1373</v>
      </c>
      <c r="G17" s="5">
        <v>5883384</v>
      </c>
      <c r="H17" s="5">
        <v>1073964</v>
      </c>
      <c r="I17" s="5">
        <v>934530</v>
      </c>
      <c r="J17" s="5">
        <f t="shared" si="0"/>
        <v>87.01688324748315</v>
      </c>
    </row>
    <row r="18" spans="1:10" x14ac:dyDescent="0.2">
      <c r="A18" s="5" t="s">
        <v>1403</v>
      </c>
      <c r="B18" s="5" t="s">
        <v>1404</v>
      </c>
      <c r="C18" s="5">
        <v>18</v>
      </c>
      <c r="D18" s="5" t="s">
        <v>1527</v>
      </c>
      <c r="E18" s="5" t="s">
        <v>1392</v>
      </c>
      <c r="F18" s="5" t="s">
        <v>1370</v>
      </c>
      <c r="G18" s="5">
        <v>8197084</v>
      </c>
      <c r="H18" s="5">
        <v>1826582</v>
      </c>
      <c r="I18" s="5">
        <v>1565970</v>
      </c>
      <c r="J18" s="5">
        <f t="shared" si="0"/>
        <v>85.732258392998503</v>
      </c>
    </row>
    <row r="19" spans="1:10" x14ac:dyDescent="0.2">
      <c r="A19" s="5" t="s">
        <v>1405</v>
      </c>
      <c r="B19" s="5" t="s">
        <v>1406</v>
      </c>
      <c r="C19" s="5">
        <v>19</v>
      </c>
      <c r="D19" s="5" t="s">
        <v>1527</v>
      </c>
      <c r="E19" s="5" t="s">
        <v>1392</v>
      </c>
      <c r="F19" s="5" t="s">
        <v>1370</v>
      </c>
      <c r="G19" s="5">
        <v>4540598</v>
      </c>
      <c r="H19" s="5">
        <v>1020415</v>
      </c>
      <c r="I19" s="5">
        <v>876980</v>
      </c>
      <c r="J19" s="5">
        <f t="shared" si="0"/>
        <v>85.943464178789995</v>
      </c>
    </row>
    <row r="20" spans="1:10" x14ac:dyDescent="0.2">
      <c r="A20" s="5" t="s">
        <v>1407</v>
      </c>
      <c r="B20" s="5" t="s">
        <v>1408</v>
      </c>
      <c r="C20" s="5">
        <v>19</v>
      </c>
      <c r="D20" s="5" t="s">
        <v>1527</v>
      </c>
      <c r="E20" s="5" t="s">
        <v>1392</v>
      </c>
      <c r="F20" s="5" t="s">
        <v>1373</v>
      </c>
      <c r="G20" s="5">
        <v>6652693</v>
      </c>
      <c r="H20" s="5">
        <v>1413746</v>
      </c>
      <c r="I20" s="5">
        <v>1213038</v>
      </c>
      <c r="J20" s="5">
        <f t="shared" si="0"/>
        <v>85.803107488898291</v>
      </c>
    </row>
    <row r="21" spans="1:10" x14ac:dyDescent="0.2">
      <c r="A21" s="5" t="s">
        <v>1409</v>
      </c>
      <c r="B21" s="5" t="s">
        <v>1410</v>
      </c>
      <c r="C21" s="5">
        <v>1</v>
      </c>
      <c r="D21" s="5" t="s">
        <v>1527</v>
      </c>
      <c r="E21" s="5" t="s">
        <v>1411</v>
      </c>
      <c r="F21" s="5" t="s">
        <v>1370</v>
      </c>
      <c r="G21" s="5">
        <v>6720357</v>
      </c>
      <c r="H21" s="5">
        <v>1397605</v>
      </c>
      <c r="I21" s="5">
        <v>1220254</v>
      </c>
      <c r="J21" s="5">
        <f t="shared" si="0"/>
        <v>87.31036308542113</v>
      </c>
    </row>
    <row r="22" spans="1:10" x14ac:dyDescent="0.2">
      <c r="A22" s="5" t="s">
        <v>1412</v>
      </c>
      <c r="B22" s="5" t="s">
        <v>1413</v>
      </c>
      <c r="C22" s="5">
        <v>1</v>
      </c>
      <c r="D22" s="5" t="s">
        <v>1527</v>
      </c>
      <c r="E22" s="5" t="s">
        <v>1411</v>
      </c>
      <c r="F22" s="5" t="s">
        <v>1373</v>
      </c>
      <c r="G22" s="5">
        <v>6070896</v>
      </c>
      <c r="H22" s="5">
        <v>1101126</v>
      </c>
      <c r="I22" s="5">
        <v>961209</v>
      </c>
      <c r="J22" s="5">
        <f t="shared" si="0"/>
        <v>87.293279788144133</v>
      </c>
    </row>
    <row r="23" spans="1:10" x14ac:dyDescent="0.2">
      <c r="A23" s="5" t="s">
        <v>1414</v>
      </c>
      <c r="B23" s="5" t="s">
        <v>1415</v>
      </c>
      <c r="C23" s="5">
        <v>20</v>
      </c>
      <c r="D23" s="5" t="s">
        <v>1527</v>
      </c>
      <c r="E23" s="5" t="s">
        <v>1392</v>
      </c>
      <c r="F23" s="5" t="s">
        <v>1370</v>
      </c>
      <c r="G23" s="5">
        <v>6827906</v>
      </c>
      <c r="H23" s="5">
        <v>1464417</v>
      </c>
      <c r="I23" s="5">
        <v>1229212</v>
      </c>
      <c r="J23" s="5">
        <f t="shared" si="0"/>
        <v>83.938659548475599</v>
      </c>
    </row>
    <row r="24" spans="1:10" x14ac:dyDescent="0.2">
      <c r="A24" s="5" t="s">
        <v>1416</v>
      </c>
      <c r="B24" s="5" t="s">
        <v>1417</v>
      </c>
      <c r="C24" s="5">
        <v>20</v>
      </c>
      <c r="D24" s="5" t="s">
        <v>1527</v>
      </c>
      <c r="E24" s="5" t="s">
        <v>1392</v>
      </c>
      <c r="F24" s="5" t="s">
        <v>1373</v>
      </c>
      <c r="G24" s="5">
        <v>6067525</v>
      </c>
      <c r="H24" s="5">
        <v>1396472</v>
      </c>
      <c r="I24" s="5">
        <v>890298</v>
      </c>
      <c r="J24" s="5">
        <f t="shared" si="0"/>
        <v>63.753372785132825</v>
      </c>
    </row>
    <row r="25" spans="1:10" x14ac:dyDescent="0.2">
      <c r="A25" s="5" t="s">
        <v>1418</v>
      </c>
      <c r="B25" s="5" t="s">
        <v>1419</v>
      </c>
      <c r="C25" s="5">
        <v>21</v>
      </c>
      <c r="D25" s="5" t="s">
        <v>1528</v>
      </c>
      <c r="E25" s="5" t="s">
        <v>1411</v>
      </c>
      <c r="F25" s="5" t="s">
        <v>1370</v>
      </c>
      <c r="G25" s="5">
        <v>6657357</v>
      </c>
      <c r="H25" s="5">
        <v>1089397</v>
      </c>
      <c r="I25" s="5">
        <v>934215</v>
      </c>
      <c r="J25" s="5">
        <f t="shared" si="0"/>
        <v>85.755238907395565</v>
      </c>
    </row>
    <row r="26" spans="1:10" x14ac:dyDescent="0.2">
      <c r="A26" s="5" t="s">
        <v>1420</v>
      </c>
      <c r="B26" s="5" t="s">
        <v>1421</v>
      </c>
      <c r="C26" s="5">
        <v>21</v>
      </c>
      <c r="D26" s="5" t="s">
        <v>1528</v>
      </c>
      <c r="E26" s="5" t="s">
        <v>1411</v>
      </c>
      <c r="F26" s="5" t="s">
        <v>1373</v>
      </c>
      <c r="G26" s="5">
        <v>5179794</v>
      </c>
      <c r="H26" s="5">
        <v>1464342</v>
      </c>
      <c r="I26" s="5">
        <v>743508</v>
      </c>
      <c r="J26" s="5">
        <f t="shared" si="0"/>
        <v>50.774204386680168</v>
      </c>
    </row>
    <row r="27" spans="1:10" x14ac:dyDescent="0.2">
      <c r="A27" s="5" t="s">
        <v>1422</v>
      </c>
      <c r="B27" s="5" t="s">
        <v>1423</v>
      </c>
      <c r="C27" s="5">
        <v>22</v>
      </c>
      <c r="D27" s="5" t="s">
        <v>1528</v>
      </c>
      <c r="E27" s="5" t="s">
        <v>1411</v>
      </c>
      <c r="F27" s="5" t="s">
        <v>1370</v>
      </c>
      <c r="G27" s="5">
        <v>8725046</v>
      </c>
      <c r="H27" s="5">
        <v>1526031</v>
      </c>
      <c r="I27" s="5">
        <v>1297569</v>
      </c>
      <c r="J27" s="5">
        <f t="shared" si="0"/>
        <v>85.029006619131593</v>
      </c>
    </row>
    <row r="28" spans="1:10" x14ac:dyDescent="0.2">
      <c r="A28" s="5" t="s">
        <v>1424</v>
      </c>
      <c r="B28" s="5" t="s">
        <v>1425</v>
      </c>
      <c r="C28" s="5">
        <v>22</v>
      </c>
      <c r="D28" s="5" t="s">
        <v>1528</v>
      </c>
      <c r="E28" s="5" t="s">
        <v>1411</v>
      </c>
      <c r="F28" s="5" t="s">
        <v>1373</v>
      </c>
      <c r="G28" s="5">
        <v>4443899</v>
      </c>
      <c r="H28" s="5">
        <v>1138737</v>
      </c>
      <c r="I28" s="5">
        <v>967405</v>
      </c>
      <c r="J28" s="5">
        <f t="shared" si="0"/>
        <v>84.954208039257523</v>
      </c>
    </row>
    <row r="29" spans="1:10" x14ac:dyDescent="0.2">
      <c r="A29" s="5" t="s">
        <v>1426</v>
      </c>
      <c r="B29" s="5" t="s">
        <v>1427</v>
      </c>
      <c r="C29" s="5">
        <v>23</v>
      </c>
      <c r="D29" s="5" t="s">
        <v>1528</v>
      </c>
      <c r="E29" s="5" t="s">
        <v>1411</v>
      </c>
      <c r="F29" s="5" t="s">
        <v>1370</v>
      </c>
      <c r="G29" s="5">
        <v>5939337</v>
      </c>
      <c r="H29" s="5">
        <v>1077107</v>
      </c>
      <c r="I29" s="5">
        <v>924163</v>
      </c>
      <c r="J29" s="5">
        <f t="shared" si="0"/>
        <v>85.800482217644117</v>
      </c>
    </row>
    <row r="30" spans="1:10" x14ac:dyDescent="0.2">
      <c r="A30" s="5" t="s">
        <v>1428</v>
      </c>
      <c r="B30" s="5" t="s">
        <v>1429</v>
      </c>
      <c r="C30" s="5">
        <v>23</v>
      </c>
      <c r="D30" s="5" t="s">
        <v>1528</v>
      </c>
      <c r="E30" s="5" t="s">
        <v>1411</v>
      </c>
      <c r="F30" s="5" t="s">
        <v>1373</v>
      </c>
      <c r="G30" s="5">
        <v>5208409</v>
      </c>
      <c r="H30" s="5">
        <v>497047</v>
      </c>
      <c r="I30" s="5">
        <v>420518</v>
      </c>
      <c r="J30" s="5">
        <f t="shared" si="0"/>
        <v>84.60326689427761</v>
      </c>
    </row>
    <row r="31" spans="1:10" x14ac:dyDescent="0.2">
      <c r="A31" s="5" t="s">
        <v>1430</v>
      </c>
      <c r="B31" s="5" t="s">
        <v>1431</v>
      </c>
      <c r="C31" s="5">
        <v>24</v>
      </c>
      <c r="D31" s="5" t="s">
        <v>1528</v>
      </c>
      <c r="E31" s="5" t="s">
        <v>1411</v>
      </c>
      <c r="F31" s="5" t="s">
        <v>1370</v>
      </c>
      <c r="G31" s="5">
        <v>8255270</v>
      </c>
      <c r="H31" s="5">
        <v>1842952</v>
      </c>
      <c r="I31" s="5">
        <v>1518749</v>
      </c>
      <c r="J31" s="5">
        <f t="shared" si="0"/>
        <v>82.408494632524338</v>
      </c>
    </row>
    <row r="32" spans="1:10" x14ac:dyDescent="0.2">
      <c r="A32" s="5" t="s">
        <v>1432</v>
      </c>
      <c r="B32" s="5" t="s">
        <v>1433</v>
      </c>
      <c r="C32" s="5">
        <v>24</v>
      </c>
      <c r="D32" s="5" t="s">
        <v>1528</v>
      </c>
      <c r="E32" s="5" t="s">
        <v>1411</v>
      </c>
      <c r="F32" s="5" t="s">
        <v>1373</v>
      </c>
      <c r="G32" s="5">
        <v>5302960</v>
      </c>
      <c r="H32" s="5">
        <v>1085726</v>
      </c>
      <c r="I32" s="5">
        <v>837951</v>
      </c>
      <c r="J32" s="5">
        <f t="shared" si="0"/>
        <v>77.178864649091949</v>
      </c>
    </row>
    <row r="33" spans="1:10" x14ac:dyDescent="0.2">
      <c r="A33" s="5" t="s">
        <v>1434</v>
      </c>
      <c r="B33" s="5" t="s">
        <v>1435</v>
      </c>
      <c r="C33" s="5">
        <v>25</v>
      </c>
      <c r="D33" s="5" t="s">
        <v>1528</v>
      </c>
      <c r="E33" s="5" t="s">
        <v>1411</v>
      </c>
      <c r="F33" s="5" t="s">
        <v>1370</v>
      </c>
      <c r="G33" s="5">
        <v>9729920</v>
      </c>
      <c r="H33" s="5">
        <v>1608017</v>
      </c>
      <c r="I33" s="5">
        <v>1296946</v>
      </c>
      <c r="J33" s="5">
        <f t="shared" si="0"/>
        <v>80.654993075321968</v>
      </c>
    </row>
    <row r="34" spans="1:10" x14ac:dyDescent="0.2">
      <c r="A34" s="5" t="s">
        <v>1436</v>
      </c>
      <c r="B34" s="5" t="s">
        <v>1437</v>
      </c>
      <c r="C34" s="5">
        <v>25</v>
      </c>
      <c r="D34" s="5" t="s">
        <v>1528</v>
      </c>
      <c r="E34" s="5" t="s">
        <v>1411</v>
      </c>
      <c r="F34" s="5" t="s">
        <v>1373</v>
      </c>
      <c r="G34" s="5">
        <v>4794651</v>
      </c>
      <c r="H34" s="5">
        <v>1346422</v>
      </c>
      <c r="I34" s="5">
        <v>1025935</v>
      </c>
      <c r="J34" s="5">
        <f t="shared" si="0"/>
        <v>76.197135816259689</v>
      </c>
    </row>
    <row r="35" spans="1:10" x14ac:dyDescent="0.2">
      <c r="A35" s="5" t="s">
        <v>1438</v>
      </c>
      <c r="B35" s="5" t="s">
        <v>1439</v>
      </c>
      <c r="C35" s="5">
        <v>26</v>
      </c>
      <c r="D35" s="5" t="s">
        <v>1528</v>
      </c>
      <c r="E35" s="5" t="s">
        <v>1411</v>
      </c>
      <c r="F35" s="5" t="s">
        <v>1370</v>
      </c>
      <c r="G35" s="5">
        <v>7070395</v>
      </c>
      <c r="H35" s="5">
        <v>1497709</v>
      </c>
      <c r="I35" s="5">
        <v>1282204</v>
      </c>
      <c r="J35" s="5">
        <f t="shared" si="0"/>
        <v>85.611023236156029</v>
      </c>
    </row>
    <row r="36" spans="1:10" x14ac:dyDescent="0.2">
      <c r="A36" s="5" t="s">
        <v>1440</v>
      </c>
      <c r="B36" s="5" t="s">
        <v>1441</v>
      </c>
      <c r="C36" s="5">
        <v>26</v>
      </c>
      <c r="D36" s="5" t="s">
        <v>1528</v>
      </c>
      <c r="E36" s="5" t="s">
        <v>1411</v>
      </c>
      <c r="F36" s="5" t="s">
        <v>1373</v>
      </c>
      <c r="G36" s="5">
        <v>6586563</v>
      </c>
      <c r="H36" s="5">
        <v>1119757</v>
      </c>
      <c r="I36" s="5">
        <v>867678</v>
      </c>
      <c r="J36" s="5">
        <f t="shared" si="0"/>
        <v>77.488062142054034</v>
      </c>
    </row>
    <row r="37" spans="1:10" x14ac:dyDescent="0.2">
      <c r="A37" s="5" t="s">
        <v>1442</v>
      </c>
      <c r="B37" s="5" t="s">
        <v>1443</v>
      </c>
      <c r="C37" s="5">
        <v>27</v>
      </c>
      <c r="D37" s="5" t="s">
        <v>1528</v>
      </c>
      <c r="E37" s="5" t="s">
        <v>1370</v>
      </c>
      <c r="F37" s="5" t="s">
        <v>1370</v>
      </c>
      <c r="G37" s="5">
        <v>3980153</v>
      </c>
      <c r="H37" s="5">
        <v>1258451</v>
      </c>
      <c r="I37" s="5">
        <v>337863</v>
      </c>
      <c r="J37" s="5">
        <f t="shared" si="0"/>
        <v>26.847529224419542</v>
      </c>
    </row>
    <row r="38" spans="1:10" x14ac:dyDescent="0.2">
      <c r="A38" s="5" t="s">
        <v>1444</v>
      </c>
      <c r="B38" s="5" t="s">
        <v>1445</v>
      </c>
      <c r="C38" s="5">
        <v>27</v>
      </c>
      <c r="D38" s="5" t="s">
        <v>1528</v>
      </c>
      <c r="E38" s="5" t="s">
        <v>1370</v>
      </c>
      <c r="F38" s="5" t="s">
        <v>1373</v>
      </c>
      <c r="G38" s="5">
        <v>4458375</v>
      </c>
      <c r="H38" s="5">
        <v>1451113</v>
      </c>
      <c r="I38" s="5">
        <v>1183114</v>
      </c>
      <c r="J38" s="5">
        <f t="shared" si="0"/>
        <v>81.53148652103593</v>
      </c>
    </row>
    <row r="39" spans="1:10" x14ac:dyDescent="0.2">
      <c r="A39" s="5" t="s">
        <v>1446</v>
      </c>
      <c r="B39" s="5" t="s">
        <v>1447</v>
      </c>
      <c r="C39" s="5">
        <v>28</v>
      </c>
      <c r="D39" s="5" t="s">
        <v>1528</v>
      </c>
      <c r="E39" s="5" t="s">
        <v>1370</v>
      </c>
      <c r="F39" s="5" t="s">
        <v>1370</v>
      </c>
      <c r="G39" s="5">
        <v>5439192</v>
      </c>
      <c r="H39" s="5">
        <v>1716621</v>
      </c>
      <c r="I39" s="5">
        <v>749952</v>
      </c>
      <c r="J39" s="5">
        <f t="shared" si="0"/>
        <v>43.687686449134667</v>
      </c>
    </row>
    <row r="40" spans="1:10" x14ac:dyDescent="0.2">
      <c r="A40" s="5" t="s">
        <v>1448</v>
      </c>
      <c r="B40" s="5" t="s">
        <v>1449</v>
      </c>
      <c r="C40" s="5">
        <v>28</v>
      </c>
      <c r="D40" s="5" t="s">
        <v>1528</v>
      </c>
      <c r="E40" s="5" t="s">
        <v>1370</v>
      </c>
      <c r="F40" s="5" t="s">
        <v>1373</v>
      </c>
      <c r="G40" s="5">
        <v>5058908</v>
      </c>
      <c r="H40" s="5">
        <v>1278838</v>
      </c>
      <c r="I40" s="5">
        <v>1085058</v>
      </c>
      <c r="J40" s="5">
        <f t="shared" si="0"/>
        <v>84.847181582029947</v>
      </c>
    </row>
    <row r="41" spans="1:10" x14ac:dyDescent="0.2">
      <c r="A41" s="5" t="s">
        <v>1450</v>
      </c>
      <c r="B41" s="5" t="s">
        <v>1451</v>
      </c>
      <c r="C41" s="5">
        <v>29</v>
      </c>
      <c r="D41" s="5" t="s">
        <v>1528</v>
      </c>
      <c r="E41" s="5" t="s">
        <v>1370</v>
      </c>
      <c r="F41" s="5" t="s">
        <v>1370</v>
      </c>
      <c r="G41" s="5">
        <v>5750175</v>
      </c>
      <c r="H41" s="5">
        <v>1351137</v>
      </c>
      <c r="I41" s="5">
        <v>1134285</v>
      </c>
      <c r="J41" s="5">
        <f t="shared" si="0"/>
        <v>83.950406213433567</v>
      </c>
    </row>
    <row r="42" spans="1:10" x14ac:dyDescent="0.2">
      <c r="A42" s="5" t="s">
        <v>1452</v>
      </c>
      <c r="B42" s="5" t="s">
        <v>1453</v>
      </c>
      <c r="C42" s="5">
        <v>29</v>
      </c>
      <c r="D42" s="5" t="s">
        <v>1528</v>
      </c>
      <c r="E42" s="5" t="s">
        <v>1370</v>
      </c>
      <c r="F42" s="5" t="s">
        <v>1373</v>
      </c>
      <c r="G42" s="5">
        <v>5191099</v>
      </c>
      <c r="H42" s="5">
        <v>1542531</v>
      </c>
      <c r="I42" s="5">
        <v>1070880</v>
      </c>
      <c r="J42" s="5">
        <f t="shared" si="0"/>
        <v>69.423564259000301</v>
      </c>
    </row>
    <row r="43" spans="1:10" x14ac:dyDescent="0.2">
      <c r="A43" s="5" t="s">
        <v>1454</v>
      </c>
      <c r="B43" s="5" t="s">
        <v>1455</v>
      </c>
      <c r="C43" s="5">
        <v>2</v>
      </c>
      <c r="D43" s="5" t="s">
        <v>1527</v>
      </c>
      <c r="E43" s="5" t="s">
        <v>1411</v>
      </c>
      <c r="F43" s="5" t="s">
        <v>1370</v>
      </c>
      <c r="G43" s="5">
        <v>5538551</v>
      </c>
      <c r="H43" s="5">
        <v>1507930</v>
      </c>
      <c r="I43" s="5">
        <v>1312987</v>
      </c>
      <c r="J43" s="5">
        <f t="shared" si="0"/>
        <v>87.072145258732164</v>
      </c>
    </row>
    <row r="44" spans="1:10" x14ac:dyDescent="0.2">
      <c r="A44" s="5" t="s">
        <v>1456</v>
      </c>
      <c r="B44" s="5" t="s">
        <v>1457</v>
      </c>
      <c r="C44" s="5">
        <v>2</v>
      </c>
      <c r="D44" s="5" t="s">
        <v>1527</v>
      </c>
      <c r="E44" s="5" t="s">
        <v>1411</v>
      </c>
      <c r="F44" s="5" t="s">
        <v>1373</v>
      </c>
      <c r="G44" s="5">
        <v>8165069</v>
      </c>
      <c r="H44" s="5">
        <v>1262299</v>
      </c>
      <c r="I44" s="5">
        <v>1089629</v>
      </c>
      <c r="J44" s="5">
        <f t="shared" si="0"/>
        <v>86.320990510172308</v>
      </c>
    </row>
    <row r="45" spans="1:10" x14ac:dyDescent="0.2">
      <c r="A45" s="5" t="s">
        <v>1458</v>
      </c>
      <c r="B45" s="5" t="s">
        <v>1459</v>
      </c>
      <c r="C45" s="5">
        <v>30</v>
      </c>
      <c r="D45" s="5" t="s">
        <v>1528</v>
      </c>
      <c r="E45" s="5" t="s">
        <v>1370</v>
      </c>
      <c r="F45" s="5" t="s">
        <v>1370</v>
      </c>
      <c r="G45" s="5">
        <v>6743717</v>
      </c>
      <c r="H45" s="5">
        <v>1576500</v>
      </c>
      <c r="I45" s="5">
        <v>1346375</v>
      </c>
      <c r="J45" s="5">
        <f t="shared" si="0"/>
        <v>85.402790992705363</v>
      </c>
    </row>
    <row r="46" spans="1:10" x14ac:dyDescent="0.2">
      <c r="A46" s="5" t="s">
        <v>1460</v>
      </c>
      <c r="B46" s="5" t="s">
        <v>1461</v>
      </c>
      <c r="C46" s="5">
        <v>31</v>
      </c>
      <c r="D46" s="5" t="s">
        <v>1528</v>
      </c>
      <c r="E46" s="5" t="s">
        <v>1370</v>
      </c>
      <c r="F46" s="5" t="s">
        <v>1370</v>
      </c>
      <c r="G46" s="5">
        <v>4991864</v>
      </c>
      <c r="H46" s="5">
        <v>1584671</v>
      </c>
      <c r="I46" s="5">
        <v>715973</v>
      </c>
      <c r="J46" s="5">
        <f t="shared" si="0"/>
        <v>45.181176408226058</v>
      </c>
    </row>
    <row r="47" spans="1:10" x14ac:dyDescent="0.2">
      <c r="A47" s="5" t="s">
        <v>1462</v>
      </c>
      <c r="B47" s="5" t="s">
        <v>1463</v>
      </c>
      <c r="C47" s="5">
        <v>31</v>
      </c>
      <c r="D47" s="5" t="s">
        <v>1528</v>
      </c>
      <c r="E47" s="5" t="s">
        <v>1370</v>
      </c>
      <c r="F47" s="5" t="s">
        <v>1373</v>
      </c>
      <c r="G47" s="5">
        <v>5279759</v>
      </c>
      <c r="H47" s="5">
        <v>1485072</v>
      </c>
      <c r="I47" s="5">
        <v>1264188</v>
      </c>
      <c r="J47" s="5">
        <f t="shared" si="0"/>
        <v>85.126377710979668</v>
      </c>
    </row>
    <row r="48" spans="1:10" x14ac:dyDescent="0.2">
      <c r="A48" s="5" t="s">
        <v>1464</v>
      </c>
      <c r="B48" s="5" t="s">
        <v>1465</v>
      </c>
      <c r="C48" s="5">
        <v>32</v>
      </c>
      <c r="D48" s="5" t="s">
        <v>1528</v>
      </c>
      <c r="E48" s="5" t="s">
        <v>1370</v>
      </c>
      <c r="F48" s="5" t="s">
        <v>1370</v>
      </c>
      <c r="G48" s="5">
        <v>5856805</v>
      </c>
      <c r="H48" s="5">
        <v>1499540</v>
      </c>
      <c r="I48" s="5">
        <v>1253688</v>
      </c>
      <c r="J48" s="5">
        <f t="shared" si="0"/>
        <v>83.60483881723728</v>
      </c>
    </row>
    <row r="49" spans="1:10" x14ac:dyDescent="0.2">
      <c r="A49" s="5" t="s">
        <v>1466</v>
      </c>
      <c r="B49" s="5" t="s">
        <v>1467</v>
      </c>
      <c r="C49" s="5">
        <v>32</v>
      </c>
      <c r="D49" s="5" t="s">
        <v>1528</v>
      </c>
      <c r="E49" s="5" t="s">
        <v>1370</v>
      </c>
      <c r="F49" s="5" t="s">
        <v>1373</v>
      </c>
      <c r="G49" s="5">
        <v>6434564</v>
      </c>
      <c r="H49" s="5">
        <v>1602586</v>
      </c>
      <c r="I49" s="5">
        <v>1294362</v>
      </c>
      <c r="J49" s="5">
        <f t="shared" si="0"/>
        <v>80.767085198547846</v>
      </c>
    </row>
    <row r="50" spans="1:10" x14ac:dyDescent="0.2">
      <c r="A50" s="5" t="s">
        <v>1468</v>
      </c>
      <c r="B50" s="5" t="s">
        <v>1469</v>
      </c>
      <c r="C50" s="5">
        <v>33</v>
      </c>
      <c r="D50" s="5" t="s">
        <v>1528</v>
      </c>
      <c r="E50" s="5" t="s">
        <v>1370</v>
      </c>
      <c r="F50" s="5" t="s">
        <v>1370</v>
      </c>
      <c r="G50" s="5">
        <v>4925096</v>
      </c>
      <c r="H50" s="5">
        <v>1320823</v>
      </c>
      <c r="I50" s="5">
        <v>1020626</v>
      </c>
      <c r="J50" s="5">
        <f t="shared" si="0"/>
        <v>77.271973610392919</v>
      </c>
    </row>
    <row r="51" spans="1:10" x14ac:dyDescent="0.2">
      <c r="A51" s="5" t="s">
        <v>1470</v>
      </c>
      <c r="B51" s="5" t="s">
        <v>1471</v>
      </c>
      <c r="C51" s="5">
        <v>33</v>
      </c>
      <c r="D51" s="5" t="s">
        <v>1528</v>
      </c>
      <c r="E51" s="5" t="s">
        <v>1370</v>
      </c>
      <c r="F51" s="5" t="s">
        <v>1373</v>
      </c>
      <c r="G51" s="5">
        <v>7903992</v>
      </c>
      <c r="H51" s="5">
        <v>2290772</v>
      </c>
      <c r="I51" s="5">
        <v>1830792</v>
      </c>
      <c r="J51" s="5">
        <f t="shared" si="0"/>
        <v>79.92030634214143</v>
      </c>
    </row>
    <row r="52" spans="1:10" x14ac:dyDescent="0.2">
      <c r="A52" s="5" t="s">
        <v>1472</v>
      </c>
      <c r="B52" s="5" t="s">
        <v>1473</v>
      </c>
      <c r="C52" s="5">
        <v>34</v>
      </c>
      <c r="D52" s="5" t="s">
        <v>1528</v>
      </c>
      <c r="E52" s="5" t="s">
        <v>1392</v>
      </c>
      <c r="F52" s="5" t="s">
        <v>1370</v>
      </c>
      <c r="G52" s="5">
        <v>9286967</v>
      </c>
      <c r="H52" s="5">
        <v>1782552</v>
      </c>
      <c r="I52" s="5">
        <v>1476646</v>
      </c>
      <c r="J52" s="5">
        <f t="shared" si="0"/>
        <v>82.838873704666113</v>
      </c>
    </row>
    <row r="53" spans="1:10" x14ac:dyDescent="0.2">
      <c r="A53" s="5" t="s">
        <v>1474</v>
      </c>
      <c r="B53" s="5" t="s">
        <v>1475</v>
      </c>
      <c r="C53" s="5">
        <v>34</v>
      </c>
      <c r="D53" s="5" t="s">
        <v>1528</v>
      </c>
      <c r="E53" s="5" t="s">
        <v>1392</v>
      </c>
      <c r="F53" s="5" t="s">
        <v>1373</v>
      </c>
      <c r="G53" s="5">
        <v>5415358</v>
      </c>
      <c r="H53" s="5">
        <v>1085369</v>
      </c>
      <c r="I53" s="5">
        <v>927337</v>
      </c>
      <c r="J53" s="5">
        <f t="shared" si="0"/>
        <v>85.439790522854437</v>
      </c>
    </row>
    <row r="54" spans="1:10" x14ac:dyDescent="0.2">
      <c r="A54" s="5" t="s">
        <v>1476</v>
      </c>
      <c r="B54" s="5" t="s">
        <v>1477</v>
      </c>
      <c r="C54" s="5">
        <v>35</v>
      </c>
      <c r="D54" s="5" t="s">
        <v>1528</v>
      </c>
      <c r="E54" s="5" t="s">
        <v>1392</v>
      </c>
      <c r="F54" s="5" t="s">
        <v>1370</v>
      </c>
      <c r="G54" s="5">
        <v>5627248</v>
      </c>
      <c r="H54" s="5">
        <v>1160975</v>
      </c>
      <c r="I54" s="5">
        <v>999551</v>
      </c>
      <c r="J54" s="5">
        <f t="shared" si="0"/>
        <v>86.095824630159996</v>
      </c>
    </row>
    <row r="55" spans="1:10" x14ac:dyDescent="0.2">
      <c r="A55" s="5" t="s">
        <v>1478</v>
      </c>
      <c r="B55" s="5" t="s">
        <v>1479</v>
      </c>
      <c r="C55" s="5">
        <v>35</v>
      </c>
      <c r="D55" s="5" t="s">
        <v>1528</v>
      </c>
      <c r="E55" s="5" t="s">
        <v>1392</v>
      </c>
      <c r="F55" s="5" t="s">
        <v>1373</v>
      </c>
      <c r="G55" s="5">
        <v>8035881</v>
      </c>
      <c r="H55" s="5">
        <v>1862438</v>
      </c>
      <c r="I55" s="5">
        <v>1579210</v>
      </c>
      <c r="J55" s="5">
        <f t="shared" si="0"/>
        <v>84.792621284574309</v>
      </c>
    </row>
    <row r="56" spans="1:10" x14ac:dyDescent="0.2">
      <c r="A56" s="5" t="s">
        <v>1480</v>
      </c>
      <c r="B56" s="5" t="s">
        <v>1481</v>
      </c>
      <c r="C56" s="5">
        <v>36</v>
      </c>
      <c r="D56" s="5" t="s">
        <v>1528</v>
      </c>
      <c r="E56" s="5" t="s">
        <v>1392</v>
      </c>
      <c r="F56" s="5" t="s">
        <v>1370</v>
      </c>
      <c r="G56" s="5">
        <v>5940200</v>
      </c>
      <c r="H56" s="5">
        <v>1641263</v>
      </c>
      <c r="I56" s="5">
        <v>1388736</v>
      </c>
      <c r="J56" s="5">
        <f t="shared" si="0"/>
        <v>84.61386139820371</v>
      </c>
    </row>
    <row r="57" spans="1:10" x14ac:dyDescent="0.2">
      <c r="A57" s="5" t="s">
        <v>1482</v>
      </c>
      <c r="B57" s="5" t="s">
        <v>1483</v>
      </c>
      <c r="C57" s="5">
        <v>36</v>
      </c>
      <c r="D57" s="5" t="s">
        <v>1528</v>
      </c>
      <c r="E57" s="5" t="s">
        <v>1392</v>
      </c>
      <c r="F57" s="5" t="s">
        <v>1373</v>
      </c>
      <c r="G57" s="5">
        <v>5231225</v>
      </c>
      <c r="H57" s="5">
        <v>1743965</v>
      </c>
      <c r="I57" s="5">
        <v>907996</v>
      </c>
      <c r="J57" s="5">
        <f t="shared" si="0"/>
        <v>52.065035708858829</v>
      </c>
    </row>
    <row r="58" spans="1:10" x14ac:dyDescent="0.2">
      <c r="A58" s="5" t="s">
        <v>1484</v>
      </c>
      <c r="B58" s="5" t="s">
        <v>1485</v>
      </c>
      <c r="C58" s="5">
        <v>37</v>
      </c>
      <c r="D58" s="5" t="s">
        <v>1528</v>
      </c>
      <c r="E58" s="5" t="s">
        <v>1392</v>
      </c>
      <c r="F58" s="5" t="s">
        <v>1370</v>
      </c>
      <c r="G58" s="5">
        <v>5409693</v>
      </c>
      <c r="H58" s="5">
        <v>1398918</v>
      </c>
      <c r="I58" s="5">
        <v>528536</v>
      </c>
      <c r="J58" s="5">
        <f t="shared" si="0"/>
        <v>37.78177134042167</v>
      </c>
    </row>
    <row r="59" spans="1:10" x14ac:dyDescent="0.2">
      <c r="A59" s="5" t="s">
        <v>1486</v>
      </c>
      <c r="B59" s="5" t="s">
        <v>1487</v>
      </c>
      <c r="C59" s="5">
        <v>37</v>
      </c>
      <c r="D59" s="5" t="s">
        <v>1528</v>
      </c>
      <c r="E59" s="5" t="s">
        <v>1392</v>
      </c>
      <c r="F59" s="5" t="s">
        <v>1373</v>
      </c>
      <c r="G59" s="5">
        <v>5383345</v>
      </c>
      <c r="H59" s="5">
        <v>1696418</v>
      </c>
      <c r="I59" s="5">
        <v>1186725</v>
      </c>
      <c r="J59" s="5">
        <f t="shared" si="0"/>
        <v>69.954751718031758</v>
      </c>
    </row>
    <row r="60" spans="1:10" x14ac:dyDescent="0.2">
      <c r="A60" s="5" t="s">
        <v>1488</v>
      </c>
      <c r="B60" s="5" t="s">
        <v>1489</v>
      </c>
      <c r="C60" s="5">
        <v>38</v>
      </c>
      <c r="D60" s="5" t="s">
        <v>1528</v>
      </c>
      <c r="E60" s="5" t="s">
        <v>1392</v>
      </c>
      <c r="F60" s="5" t="s">
        <v>1370</v>
      </c>
      <c r="G60" s="5">
        <v>5126966</v>
      </c>
      <c r="H60" s="5">
        <v>1234774</v>
      </c>
      <c r="I60" s="5">
        <v>1024280</v>
      </c>
      <c r="J60" s="5">
        <f t="shared" si="0"/>
        <v>82.952831854250249</v>
      </c>
    </row>
    <row r="61" spans="1:10" x14ac:dyDescent="0.2">
      <c r="A61" s="5" t="s">
        <v>1490</v>
      </c>
      <c r="B61" s="5" t="s">
        <v>1491</v>
      </c>
      <c r="C61" s="5">
        <v>38</v>
      </c>
      <c r="D61" s="5" t="s">
        <v>1528</v>
      </c>
      <c r="E61" s="5" t="s">
        <v>1392</v>
      </c>
      <c r="F61" s="5" t="s">
        <v>1373</v>
      </c>
      <c r="G61" s="5">
        <v>3582324</v>
      </c>
      <c r="H61" s="5">
        <v>1117392</v>
      </c>
      <c r="I61" s="5">
        <v>692628</v>
      </c>
      <c r="J61" s="5">
        <f t="shared" si="0"/>
        <v>61.986124833540956</v>
      </c>
    </row>
    <row r="62" spans="1:10" x14ac:dyDescent="0.2">
      <c r="A62" s="5" t="s">
        <v>1492</v>
      </c>
      <c r="B62" s="5" t="s">
        <v>1493</v>
      </c>
      <c r="C62" s="5">
        <v>39</v>
      </c>
      <c r="D62" s="5" t="s">
        <v>1528</v>
      </c>
      <c r="E62" s="5" t="s">
        <v>1392</v>
      </c>
      <c r="F62" s="5" t="s">
        <v>1370</v>
      </c>
      <c r="G62" s="5">
        <v>6592798</v>
      </c>
      <c r="H62" s="5">
        <v>1423546</v>
      </c>
      <c r="I62" s="5">
        <v>1070666</v>
      </c>
      <c r="J62" s="5">
        <f t="shared" si="0"/>
        <v>75.211197952156098</v>
      </c>
    </row>
    <row r="63" spans="1:10" x14ac:dyDescent="0.2">
      <c r="A63" s="5" t="s">
        <v>1494</v>
      </c>
      <c r="B63" s="5" t="s">
        <v>1495</v>
      </c>
      <c r="C63" s="5">
        <v>39</v>
      </c>
      <c r="D63" s="5" t="s">
        <v>1528</v>
      </c>
      <c r="E63" s="5" t="s">
        <v>1392</v>
      </c>
      <c r="F63" s="5" t="s">
        <v>1373</v>
      </c>
      <c r="G63" s="5">
        <v>6997750</v>
      </c>
      <c r="H63" s="5">
        <v>1345307</v>
      </c>
      <c r="I63" s="5">
        <v>1117386</v>
      </c>
      <c r="J63" s="5">
        <f t="shared" si="0"/>
        <v>83.058067786757974</v>
      </c>
    </row>
    <row r="64" spans="1:10" x14ac:dyDescent="0.2">
      <c r="A64" s="5" t="s">
        <v>1496</v>
      </c>
      <c r="B64" s="5" t="s">
        <v>1497</v>
      </c>
      <c r="C64" s="5">
        <v>3</v>
      </c>
      <c r="D64" s="5" t="s">
        <v>1527</v>
      </c>
      <c r="E64" s="5" t="s">
        <v>1411</v>
      </c>
      <c r="F64" s="5" t="s">
        <v>1370</v>
      </c>
      <c r="G64" s="5">
        <v>7089413</v>
      </c>
      <c r="H64" s="5">
        <v>1691954</v>
      </c>
      <c r="I64" s="5">
        <v>1320573</v>
      </c>
      <c r="J64" s="5">
        <f t="shared" si="0"/>
        <v>78.050171576768633</v>
      </c>
    </row>
    <row r="65" spans="1:10" x14ac:dyDescent="0.2">
      <c r="A65" s="5" t="s">
        <v>1498</v>
      </c>
      <c r="B65" s="5" t="s">
        <v>1499</v>
      </c>
      <c r="C65" s="5">
        <v>3</v>
      </c>
      <c r="D65" s="5" t="s">
        <v>1527</v>
      </c>
      <c r="E65" s="5" t="s">
        <v>1411</v>
      </c>
      <c r="F65" s="5" t="s">
        <v>1373</v>
      </c>
      <c r="G65" s="5">
        <v>7983183</v>
      </c>
      <c r="H65" s="5">
        <v>1251377</v>
      </c>
      <c r="I65" s="5">
        <v>1060739</v>
      </c>
      <c r="J65" s="5">
        <f t="shared" si="0"/>
        <v>84.765742058548298</v>
      </c>
    </row>
    <row r="66" spans="1:10" x14ac:dyDescent="0.2">
      <c r="A66" s="5" t="s">
        <v>1500</v>
      </c>
      <c r="B66" s="5" t="s">
        <v>1501</v>
      </c>
      <c r="C66" s="5">
        <v>40</v>
      </c>
      <c r="D66" s="5" t="s">
        <v>1527</v>
      </c>
      <c r="E66" s="5" t="s">
        <v>1370</v>
      </c>
      <c r="F66" s="5" t="s">
        <v>1370</v>
      </c>
      <c r="G66" s="5">
        <v>6470010</v>
      </c>
      <c r="H66" s="5">
        <v>1747464</v>
      </c>
      <c r="I66" s="5">
        <v>1400956</v>
      </c>
      <c r="J66" s="5">
        <f t="shared" ref="J66:J78" si="1">(I66/H66)*100</f>
        <v>80.170807524504085</v>
      </c>
    </row>
    <row r="67" spans="1:10" x14ac:dyDescent="0.2">
      <c r="A67" s="5" t="s">
        <v>1502</v>
      </c>
      <c r="B67" s="5" t="s">
        <v>1503</v>
      </c>
      <c r="C67" s="5">
        <v>40</v>
      </c>
      <c r="D67" s="5" t="s">
        <v>1528</v>
      </c>
      <c r="E67" s="5" t="s">
        <v>1370</v>
      </c>
      <c r="F67" s="5" t="s">
        <v>1373</v>
      </c>
      <c r="G67" s="5">
        <v>6463935</v>
      </c>
      <c r="H67" s="5">
        <v>1474535</v>
      </c>
      <c r="I67" s="5">
        <v>1208215</v>
      </c>
      <c r="J67" s="5">
        <f t="shared" si="1"/>
        <v>81.938712882366303</v>
      </c>
    </row>
    <row r="68" spans="1:10" x14ac:dyDescent="0.2">
      <c r="A68" s="5" t="s">
        <v>1504</v>
      </c>
      <c r="B68" s="5" t="s">
        <v>1505</v>
      </c>
      <c r="C68" s="5">
        <v>4</v>
      </c>
      <c r="D68" s="5" t="s">
        <v>1527</v>
      </c>
      <c r="E68" s="5" t="s">
        <v>1411</v>
      </c>
      <c r="F68" s="5" t="s">
        <v>1370</v>
      </c>
      <c r="G68" s="5">
        <v>6088484</v>
      </c>
      <c r="H68" s="5">
        <v>1303338</v>
      </c>
      <c r="I68" s="5">
        <v>757439</v>
      </c>
      <c r="J68" s="5">
        <f t="shared" si="1"/>
        <v>58.115316211143998</v>
      </c>
    </row>
    <row r="69" spans="1:10" x14ac:dyDescent="0.2">
      <c r="A69" s="5" t="s">
        <v>1506</v>
      </c>
      <c r="B69" s="5" t="s">
        <v>1507</v>
      </c>
      <c r="C69" s="5">
        <v>4</v>
      </c>
      <c r="D69" s="5" t="s">
        <v>1527</v>
      </c>
      <c r="E69" s="5" t="s">
        <v>1411</v>
      </c>
      <c r="F69" s="5" t="s">
        <v>1373</v>
      </c>
      <c r="G69" s="5">
        <v>4587480</v>
      </c>
      <c r="H69" s="5">
        <v>1171329</v>
      </c>
      <c r="I69" s="5">
        <v>876939</v>
      </c>
      <c r="J69" s="5">
        <f t="shared" si="1"/>
        <v>74.867010037316589</v>
      </c>
    </row>
    <row r="70" spans="1:10" x14ac:dyDescent="0.2">
      <c r="A70" s="5" t="s">
        <v>1508</v>
      </c>
      <c r="B70" s="5" t="s">
        <v>1509</v>
      </c>
      <c r="C70" s="5">
        <v>5</v>
      </c>
      <c r="D70" s="5" t="s">
        <v>1527</v>
      </c>
      <c r="E70" s="5" t="s">
        <v>1411</v>
      </c>
      <c r="F70" s="5" t="s">
        <v>1373</v>
      </c>
      <c r="G70" s="5">
        <v>6230582</v>
      </c>
      <c r="H70" s="5">
        <v>1075721</v>
      </c>
      <c r="I70" s="5">
        <v>922519</v>
      </c>
      <c r="J70" s="5">
        <f t="shared" si="1"/>
        <v>85.758203102849166</v>
      </c>
    </row>
    <row r="71" spans="1:10" x14ac:dyDescent="0.2">
      <c r="A71" s="5" t="s">
        <v>1510</v>
      </c>
      <c r="B71" s="5" t="s">
        <v>1511</v>
      </c>
      <c r="C71" s="5">
        <v>6</v>
      </c>
      <c r="D71" s="5" t="s">
        <v>1527</v>
      </c>
      <c r="E71" s="5" t="s">
        <v>1411</v>
      </c>
      <c r="F71" s="5" t="s">
        <v>1370</v>
      </c>
      <c r="G71" s="5">
        <v>6121828</v>
      </c>
      <c r="H71" s="5">
        <v>1304460</v>
      </c>
      <c r="I71" s="5">
        <v>1089862</v>
      </c>
      <c r="J71" s="5">
        <f t="shared" si="1"/>
        <v>83.548901461141014</v>
      </c>
    </row>
    <row r="72" spans="1:10" x14ac:dyDescent="0.2">
      <c r="A72" s="5" t="s">
        <v>1512</v>
      </c>
      <c r="B72" s="5" t="s">
        <v>1513</v>
      </c>
      <c r="C72" s="5">
        <v>6</v>
      </c>
      <c r="D72" s="5" t="s">
        <v>1527</v>
      </c>
      <c r="E72" s="5" t="s">
        <v>1411</v>
      </c>
      <c r="F72" s="5" t="s">
        <v>1373</v>
      </c>
      <c r="G72" s="5">
        <v>5998682</v>
      </c>
      <c r="H72" s="5">
        <v>1396135</v>
      </c>
      <c r="I72" s="5">
        <v>1194910</v>
      </c>
      <c r="J72" s="5">
        <f t="shared" si="1"/>
        <v>85.58699552693686</v>
      </c>
    </row>
    <row r="73" spans="1:10" x14ac:dyDescent="0.2">
      <c r="A73" s="5" t="s">
        <v>1514</v>
      </c>
      <c r="B73" s="5" t="s">
        <v>1515</v>
      </c>
      <c r="C73" s="5">
        <v>7</v>
      </c>
      <c r="D73" s="5" t="s">
        <v>1527</v>
      </c>
      <c r="E73" s="5" t="s">
        <v>1411</v>
      </c>
      <c r="F73" s="5" t="s">
        <v>1370</v>
      </c>
      <c r="G73" s="5">
        <v>6736278</v>
      </c>
      <c r="H73" s="5">
        <v>1480792</v>
      </c>
      <c r="I73" s="5">
        <v>1226491</v>
      </c>
      <c r="J73" s="5">
        <f t="shared" si="1"/>
        <v>82.826690041545334</v>
      </c>
    </row>
    <row r="74" spans="1:10" x14ac:dyDescent="0.2">
      <c r="A74" s="5" t="s">
        <v>1516</v>
      </c>
      <c r="B74" s="5" t="s">
        <v>1517</v>
      </c>
      <c r="C74" s="5">
        <v>7</v>
      </c>
      <c r="D74" s="5" t="s">
        <v>1527</v>
      </c>
      <c r="E74" s="5" t="s">
        <v>1411</v>
      </c>
      <c r="F74" s="5" t="s">
        <v>1373</v>
      </c>
      <c r="G74" s="5">
        <v>7217537</v>
      </c>
      <c r="H74" s="5">
        <v>1302333</v>
      </c>
      <c r="I74" s="5">
        <v>1010160</v>
      </c>
      <c r="J74" s="5">
        <f t="shared" si="1"/>
        <v>77.565415297009281</v>
      </c>
    </row>
    <row r="75" spans="1:10" x14ac:dyDescent="0.2">
      <c r="A75" s="5" t="s">
        <v>1518</v>
      </c>
      <c r="B75" s="5" t="s">
        <v>1519</v>
      </c>
      <c r="C75" s="5">
        <v>8</v>
      </c>
      <c r="D75" s="5" t="s">
        <v>1527</v>
      </c>
      <c r="E75" s="5" t="s">
        <v>1370</v>
      </c>
      <c r="F75" s="5" t="s">
        <v>1370</v>
      </c>
      <c r="G75" s="5">
        <v>6541997</v>
      </c>
      <c r="H75" s="5">
        <v>1802861</v>
      </c>
      <c r="I75" s="5">
        <v>1476971</v>
      </c>
      <c r="J75" s="5">
        <f t="shared" si="1"/>
        <v>81.923731224980727</v>
      </c>
    </row>
    <row r="76" spans="1:10" x14ac:dyDescent="0.2">
      <c r="A76" s="5" t="s">
        <v>1520</v>
      </c>
      <c r="B76" s="5" t="s">
        <v>1521</v>
      </c>
      <c r="C76" s="5">
        <v>8</v>
      </c>
      <c r="D76" s="5" t="s">
        <v>1527</v>
      </c>
      <c r="E76" s="5" t="s">
        <v>1370</v>
      </c>
      <c r="F76" s="5" t="s">
        <v>1373</v>
      </c>
      <c r="G76" s="5">
        <v>5074986</v>
      </c>
      <c r="H76" s="5">
        <v>1510215</v>
      </c>
      <c r="I76" s="5">
        <v>959186</v>
      </c>
      <c r="J76" s="5">
        <f t="shared" si="1"/>
        <v>63.513208384236684</v>
      </c>
    </row>
    <row r="77" spans="1:10" x14ac:dyDescent="0.2">
      <c r="A77" s="5" t="s">
        <v>1522</v>
      </c>
      <c r="B77" s="5" t="s">
        <v>1523</v>
      </c>
      <c r="C77" s="5">
        <v>9</v>
      </c>
      <c r="D77" s="5" t="s">
        <v>1527</v>
      </c>
      <c r="E77" s="5" t="s">
        <v>1370</v>
      </c>
      <c r="F77" s="5" t="s">
        <v>1370</v>
      </c>
      <c r="G77" s="5">
        <v>6497913</v>
      </c>
      <c r="H77" s="5">
        <v>1602273</v>
      </c>
      <c r="I77" s="5">
        <v>1306640</v>
      </c>
      <c r="J77" s="5">
        <f t="shared" si="1"/>
        <v>81.549149239861123</v>
      </c>
    </row>
    <row r="78" spans="1:10" ht="17" thickBot="1" x14ac:dyDescent="0.25">
      <c r="A78" s="7" t="s">
        <v>1524</v>
      </c>
      <c r="B78" s="7" t="s">
        <v>1525</v>
      </c>
      <c r="C78" s="7">
        <v>9</v>
      </c>
      <c r="D78" s="7" t="s">
        <v>1527</v>
      </c>
      <c r="E78" s="7" t="s">
        <v>1370</v>
      </c>
      <c r="F78" s="7" t="s">
        <v>1373</v>
      </c>
      <c r="G78" s="7">
        <v>7013530</v>
      </c>
      <c r="H78" s="7">
        <v>1146716</v>
      </c>
      <c r="I78" s="7">
        <v>901941</v>
      </c>
      <c r="J78" s="7">
        <f t="shared" si="1"/>
        <v>78.654261386428729</v>
      </c>
    </row>
    <row r="79" spans="1:10" x14ac:dyDescent="0.2">
      <c r="A79" s="5"/>
      <c r="B79" s="5"/>
      <c r="C79" s="5"/>
      <c r="D79" s="5"/>
      <c r="E79" s="5"/>
      <c r="F79" s="9" t="s">
        <v>1529</v>
      </c>
      <c r="G79" s="8">
        <f>AVERAGE(G2:G78)</f>
        <v>6208510.8311688313</v>
      </c>
      <c r="H79" s="9" t="s">
        <v>1529</v>
      </c>
      <c r="I79" s="8">
        <f>AVERAGE(I2:I78)</f>
        <v>1083646.2337662338</v>
      </c>
      <c r="J79" s="8">
        <f>AVERAGE(J2:J78)</f>
        <v>76.157264183395071</v>
      </c>
    </row>
    <row r="80" spans="1:10" ht="17" thickBot="1" x14ac:dyDescent="0.25">
      <c r="A80" s="5"/>
      <c r="B80" s="5"/>
      <c r="C80" s="5"/>
      <c r="D80" s="5"/>
      <c r="E80" s="5"/>
      <c r="F80" s="10" t="s">
        <v>1526</v>
      </c>
      <c r="G80" s="7"/>
      <c r="H80" s="10" t="s">
        <v>1526</v>
      </c>
      <c r="I80" s="7">
        <f>STDEV(I2:I78)</f>
        <v>284293.88092873833</v>
      </c>
      <c r="J80" s="7">
        <f>STDEV(J2:J78)</f>
        <v>14.612215839859175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3B7D9-92D3-9E4F-841F-2278EB1D6748}">
  <dimension ref="A1:J167"/>
  <sheetViews>
    <sheetView zoomScale="131" workbookViewId="0">
      <selection activeCell="J20" sqref="J20"/>
    </sheetView>
  </sheetViews>
  <sheetFormatPr baseColWidth="10" defaultRowHeight="16" x14ac:dyDescent="0.2"/>
  <sheetData>
    <row r="1" spans="1:10" x14ac:dyDescent="0.2">
      <c r="A1" t="s">
        <v>1530</v>
      </c>
    </row>
    <row r="2" spans="1:10" x14ac:dyDescent="0.2">
      <c r="A2" t="s">
        <v>1531</v>
      </c>
    </row>
    <row r="3" spans="1:10" x14ac:dyDescent="0.2">
      <c r="A3" t="s">
        <v>46</v>
      </c>
    </row>
    <row r="4" spans="1:10" x14ac:dyDescent="0.2">
      <c r="A4" t="s">
        <v>47</v>
      </c>
    </row>
    <row r="5" spans="1:10" x14ac:dyDescent="0.2">
      <c r="A5" t="s">
        <v>48</v>
      </c>
    </row>
    <row r="6" spans="1:10" x14ac:dyDescent="0.2">
      <c r="A6" t="s">
        <v>49</v>
      </c>
    </row>
    <row r="7" spans="1:10" x14ac:dyDescent="0.2">
      <c r="A7" t="s">
        <v>44</v>
      </c>
    </row>
    <row r="8" spans="1:10" x14ac:dyDescent="0.2">
      <c r="A8" t="s">
        <v>43</v>
      </c>
    </row>
    <row r="9" spans="1:10" x14ac:dyDescent="0.2">
      <c r="A9" t="s">
        <v>52</v>
      </c>
    </row>
    <row r="10" spans="1:10" ht="17" thickBot="1" x14ac:dyDescent="0.25">
      <c r="A10" t="s">
        <v>1661</v>
      </c>
    </row>
    <row r="11" spans="1:10" ht="17" thickBot="1" x14ac:dyDescent="0.25">
      <c r="A11" s="2" t="s">
        <v>0</v>
      </c>
      <c r="B11" s="2" t="s">
        <v>1</v>
      </c>
      <c r="C11" s="2" t="s">
        <v>2</v>
      </c>
      <c r="D11" s="2" t="s">
        <v>3</v>
      </c>
      <c r="E11" s="2" t="s">
        <v>4</v>
      </c>
      <c r="F11" s="2" t="s">
        <v>5</v>
      </c>
      <c r="G11" s="2" t="s">
        <v>6</v>
      </c>
      <c r="H11" s="2" t="s">
        <v>41</v>
      </c>
      <c r="I11" s="2" t="s">
        <v>50</v>
      </c>
      <c r="J11" s="11" t="s">
        <v>1647</v>
      </c>
    </row>
    <row r="12" spans="1:10" x14ac:dyDescent="0.2">
      <c r="A12">
        <v>4471</v>
      </c>
      <c r="B12">
        <v>1.08683578359819E-4</v>
      </c>
      <c r="C12">
        <v>4</v>
      </c>
      <c r="D12">
        <v>51</v>
      </c>
      <c r="E12" t="s">
        <v>456</v>
      </c>
      <c r="F12" t="s">
        <v>457</v>
      </c>
      <c r="G12">
        <v>7.3858910645933301E-3</v>
      </c>
      <c r="H12" t="s">
        <v>42</v>
      </c>
      <c r="I12" t="s">
        <v>51</v>
      </c>
      <c r="J12" t="s">
        <v>1648</v>
      </c>
    </row>
    <row r="13" spans="1:10" x14ac:dyDescent="0.2">
      <c r="A13">
        <v>8050</v>
      </c>
      <c r="B13" s="1">
        <v>2.8459484492722601E-6</v>
      </c>
      <c r="C13">
        <v>2</v>
      </c>
      <c r="D13">
        <v>23</v>
      </c>
      <c r="E13" t="s">
        <v>652</v>
      </c>
      <c r="F13" t="s">
        <v>653</v>
      </c>
      <c r="G13">
        <v>4.0387356669819598E-4</v>
      </c>
      <c r="H13" t="s">
        <v>42</v>
      </c>
      <c r="I13" t="s">
        <v>51</v>
      </c>
      <c r="J13" t="s">
        <v>1650</v>
      </c>
    </row>
    <row r="14" spans="1:10" x14ac:dyDescent="0.2">
      <c r="A14">
        <v>3461</v>
      </c>
      <c r="B14" s="1">
        <v>6.6716247542236004E-9</v>
      </c>
      <c r="C14">
        <v>3</v>
      </c>
      <c r="D14">
        <v>192</v>
      </c>
      <c r="E14" t="s">
        <v>468</v>
      </c>
      <c r="F14" t="s">
        <v>469</v>
      </c>
      <c r="G14">
        <v>2.2993278170806301E-6</v>
      </c>
      <c r="H14" t="s">
        <v>42</v>
      </c>
      <c r="I14" t="s">
        <v>51</v>
      </c>
      <c r="J14" t="s">
        <v>1653</v>
      </c>
    </row>
    <row r="15" spans="1:10" x14ac:dyDescent="0.2">
      <c r="A15">
        <v>2027</v>
      </c>
      <c r="B15" s="1">
        <v>3.0952903220571399E-5</v>
      </c>
      <c r="C15">
        <v>4</v>
      </c>
      <c r="D15">
        <v>290</v>
      </c>
      <c r="E15" t="s">
        <v>472</v>
      </c>
      <c r="F15" t="s">
        <v>473</v>
      </c>
      <c r="G15">
        <v>2.8178822271557901E-3</v>
      </c>
      <c r="H15" t="s">
        <v>42</v>
      </c>
      <c r="I15" t="s">
        <v>51</v>
      </c>
      <c r="J15" t="s">
        <v>1653</v>
      </c>
    </row>
    <row r="16" spans="1:10" x14ac:dyDescent="0.2">
      <c r="A16">
        <v>4688</v>
      </c>
      <c r="B16" s="1">
        <v>2.7377932190122701E-4</v>
      </c>
      <c r="C16">
        <v>5</v>
      </c>
      <c r="D16">
        <v>41</v>
      </c>
      <c r="E16" t="s">
        <v>1532</v>
      </c>
      <c r="F16" t="s">
        <v>1533</v>
      </c>
      <c r="G16">
        <v>1.5360293350853701E-2</v>
      </c>
      <c r="H16" t="s">
        <v>42</v>
      </c>
      <c r="I16" t="s">
        <v>51</v>
      </c>
      <c r="J16" t="s">
        <v>1650</v>
      </c>
    </row>
    <row r="17" spans="1:10" x14ac:dyDescent="0.2">
      <c r="A17">
        <v>6907</v>
      </c>
      <c r="B17" s="1">
        <v>4.5027323780017902E-6</v>
      </c>
      <c r="C17">
        <v>6</v>
      </c>
      <c r="D17">
        <v>30</v>
      </c>
      <c r="E17" t="s">
        <v>1534</v>
      </c>
      <c r="F17" t="s">
        <v>1535</v>
      </c>
      <c r="G17">
        <v>5.2989472497216199E-4</v>
      </c>
      <c r="H17" t="s">
        <v>42</v>
      </c>
      <c r="I17" t="s">
        <v>51</v>
      </c>
      <c r="J17" t="s">
        <v>1650</v>
      </c>
    </row>
    <row r="18" spans="1:10" x14ac:dyDescent="0.2">
      <c r="A18">
        <v>1650</v>
      </c>
      <c r="B18" s="1">
        <v>1.55573921293832E-3</v>
      </c>
      <c r="C18">
        <v>3</v>
      </c>
      <c r="D18">
        <v>252</v>
      </c>
      <c r="E18" t="s">
        <v>1536</v>
      </c>
      <c r="F18" t="s">
        <v>1537</v>
      </c>
      <c r="G18">
        <v>4.8950403186067297E-2</v>
      </c>
      <c r="H18" t="s">
        <v>42</v>
      </c>
      <c r="I18" t="s">
        <v>51</v>
      </c>
      <c r="J18" t="s">
        <v>1652</v>
      </c>
    </row>
    <row r="19" spans="1:10" x14ac:dyDescent="0.2">
      <c r="A19">
        <v>2068</v>
      </c>
      <c r="B19" s="1">
        <v>4.3618644938909899E-4</v>
      </c>
      <c r="C19">
        <v>2</v>
      </c>
      <c r="D19">
        <v>198</v>
      </c>
      <c r="E19" t="s">
        <v>1538</v>
      </c>
      <c r="F19" t="s">
        <v>1539</v>
      </c>
      <c r="G19">
        <v>2.0837619983192099E-2</v>
      </c>
      <c r="H19" t="s">
        <v>42</v>
      </c>
      <c r="I19" t="s">
        <v>51</v>
      </c>
      <c r="J19" t="s">
        <v>1650</v>
      </c>
    </row>
    <row r="20" spans="1:10" x14ac:dyDescent="0.2">
      <c r="A20">
        <v>1212</v>
      </c>
      <c r="B20" s="1">
        <v>3.2239606211551601E-6</v>
      </c>
      <c r="C20">
        <v>3</v>
      </c>
      <c r="D20">
        <v>1040</v>
      </c>
      <c r="E20" t="s">
        <v>1540</v>
      </c>
      <c r="F20" t="s">
        <v>1541</v>
      </c>
      <c r="G20">
        <v>4.3210027769648998E-4</v>
      </c>
      <c r="H20" t="s">
        <v>42</v>
      </c>
      <c r="I20" t="s">
        <v>51</v>
      </c>
      <c r="J20" t="s">
        <v>1650</v>
      </c>
    </row>
    <row r="21" spans="1:10" x14ac:dyDescent="0.2">
      <c r="A21">
        <v>1546</v>
      </c>
      <c r="B21">
        <v>2.7467466853857601E-5</v>
      </c>
      <c r="C21">
        <v>6</v>
      </c>
      <c r="D21">
        <v>509</v>
      </c>
      <c r="E21" t="s">
        <v>1542</v>
      </c>
      <c r="F21" t="s">
        <v>1543</v>
      </c>
      <c r="G21">
        <v>2.5986377954875101E-3</v>
      </c>
      <c r="H21" t="s">
        <v>42</v>
      </c>
      <c r="I21" t="s">
        <v>51</v>
      </c>
      <c r="J21" t="s">
        <v>1650</v>
      </c>
    </row>
    <row r="22" spans="1:10" x14ac:dyDescent="0.2">
      <c r="A22">
        <v>5391</v>
      </c>
      <c r="B22">
        <v>6.5003621343866004E-7</v>
      </c>
      <c r="C22">
        <v>2</v>
      </c>
      <c r="D22">
        <v>58</v>
      </c>
      <c r="E22" t="s">
        <v>478</v>
      </c>
      <c r="F22" t="s">
        <v>479</v>
      </c>
      <c r="G22">
        <v>1.2019621676890601E-4</v>
      </c>
      <c r="H22" t="s">
        <v>42</v>
      </c>
      <c r="I22" t="s">
        <v>51</v>
      </c>
      <c r="J22" t="s">
        <v>1650</v>
      </c>
    </row>
    <row r="23" spans="1:10" x14ac:dyDescent="0.2">
      <c r="A23">
        <v>3884</v>
      </c>
      <c r="B23" s="1">
        <v>1.58772414467869E-3</v>
      </c>
      <c r="C23">
        <v>3</v>
      </c>
      <c r="D23">
        <v>45</v>
      </c>
      <c r="E23" t="s">
        <v>1544</v>
      </c>
      <c r="F23" t="s">
        <v>1545</v>
      </c>
      <c r="G23">
        <v>4.9107493577401802E-2</v>
      </c>
      <c r="H23" t="s">
        <v>42</v>
      </c>
      <c r="I23" t="s">
        <v>51</v>
      </c>
      <c r="J23" t="s">
        <v>1654</v>
      </c>
    </row>
    <row r="24" spans="1:10" x14ac:dyDescent="0.2">
      <c r="A24">
        <v>3364</v>
      </c>
      <c r="B24" s="1">
        <v>7.7527844044462198E-4</v>
      </c>
      <c r="C24">
        <v>2</v>
      </c>
      <c r="D24">
        <v>68</v>
      </c>
      <c r="E24" t="s">
        <v>1546</v>
      </c>
      <c r="F24" t="s">
        <v>1547</v>
      </c>
      <c r="G24">
        <v>3.1434609034834499E-2</v>
      </c>
      <c r="H24" t="s">
        <v>42</v>
      </c>
      <c r="I24" t="s">
        <v>51</v>
      </c>
      <c r="J24" t="s">
        <v>1652</v>
      </c>
    </row>
    <row r="25" spans="1:10" x14ac:dyDescent="0.2">
      <c r="A25">
        <v>3869</v>
      </c>
      <c r="B25" s="1">
        <v>1.0275163728855801E-3</v>
      </c>
      <c r="C25">
        <v>2</v>
      </c>
      <c r="D25">
        <v>49</v>
      </c>
      <c r="E25" t="s">
        <v>1548</v>
      </c>
      <c r="F25" t="s">
        <v>1549</v>
      </c>
      <c r="G25">
        <v>3.9037531489550602E-2</v>
      </c>
      <c r="H25" t="s">
        <v>42</v>
      </c>
      <c r="I25" t="s">
        <v>51</v>
      </c>
      <c r="J25" t="s">
        <v>1650</v>
      </c>
    </row>
    <row r="26" spans="1:10" x14ac:dyDescent="0.2">
      <c r="A26">
        <v>6562</v>
      </c>
      <c r="B26" s="1">
        <v>7.3441743100366398E-4</v>
      </c>
      <c r="C26">
        <v>2</v>
      </c>
      <c r="D26">
        <v>18</v>
      </c>
      <c r="E26" t="s">
        <v>1550</v>
      </c>
      <c r="F26" t="s">
        <v>1551</v>
      </c>
      <c r="G26">
        <v>3.0546945887099199E-2</v>
      </c>
      <c r="H26" t="s">
        <v>42</v>
      </c>
      <c r="I26" t="s">
        <v>51</v>
      </c>
      <c r="J26" t="s">
        <v>1650</v>
      </c>
    </row>
    <row r="27" spans="1:10" x14ac:dyDescent="0.2">
      <c r="A27">
        <v>1421</v>
      </c>
      <c r="B27" s="1">
        <v>1.13185939201307E-3</v>
      </c>
      <c r="C27">
        <v>2</v>
      </c>
      <c r="D27">
        <v>361</v>
      </c>
      <c r="E27" t="s">
        <v>1552</v>
      </c>
      <c r="F27" t="s">
        <v>1553</v>
      </c>
      <c r="G27">
        <v>4.0738964812011898E-2</v>
      </c>
      <c r="H27" t="s">
        <v>42</v>
      </c>
      <c r="I27" t="s">
        <v>51</v>
      </c>
      <c r="J27" t="s">
        <v>1650</v>
      </c>
    </row>
    <row r="28" spans="1:10" x14ac:dyDescent="0.2">
      <c r="A28">
        <v>3748</v>
      </c>
      <c r="B28" s="1">
        <v>1.4712189432562999E-3</v>
      </c>
      <c r="C28">
        <v>3</v>
      </c>
      <c r="D28">
        <v>49</v>
      </c>
      <c r="E28" t="s">
        <v>1554</v>
      </c>
      <c r="F28" t="s">
        <v>1555</v>
      </c>
      <c r="G28">
        <v>4.7324209341411003E-2</v>
      </c>
      <c r="H28" t="s">
        <v>42</v>
      </c>
      <c r="I28" t="s">
        <v>51</v>
      </c>
      <c r="J28" t="s">
        <v>1650</v>
      </c>
    </row>
    <row r="29" spans="1:10" x14ac:dyDescent="0.2">
      <c r="A29">
        <v>1220</v>
      </c>
      <c r="B29">
        <v>1.0750373698962801E-3</v>
      </c>
      <c r="C29">
        <v>2</v>
      </c>
      <c r="D29">
        <v>497</v>
      </c>
      <c r="E29" t="s">
        <v>500</v>
      </c>
      <c r="F29" t="s">
        <v>501</v>
      </c>
      <c r="G29">
        <v>3.9849448594101097E-2</v>
      </c>
      <c r="H29" t="s">
        <v>42</v>
      </c>
      <c r="I29" t="s">
        <v>51</v>
      </c>
      <c r="J29" t="s">
        <v>1653</v>
      </c>
    </row>
    <row r="30" spans="1:10" x14ac:dyDescent="0.2">
      <c r="A30">
        <v>2925</v>
      </c>
      <c r="B30">
        <v>3.0608055846862698E-9</v>
      </c>
      <c r="C30">
        <v>3</v>
      </c>
      <c r="D30">
        <v>282</v>
      </c>
      <c r="E30" t="s">
        <v>502</v>
      </c>
      <c r="F30" t="s">
        <v>503</v>
      </c>
      <c r="G30">
        <v>1.23069891217594E-6</v>
      </c>
      <c r="H30" t="s">
        <v>42</v>
      </c>
      <c r="I30" t="s">
        <v>51</v>
      </c>
      <c r="J30" t="s">
        <v>1653</v>
      </c>
    </row>
    <row r="31" spans="1:10" x14ac:dyDescent="0.2">
      <c r="A31">
        <v>1057</v>
      </c>
      <c r="B31">
        <v>8.31547059480922E-4</v>
      </c>
      <c r="C31">
        <v>2</v>
      </c>
      <c r="D31">
        <v>696</v>
      </c>
      <c r="E31" t="s">
        <v>1556</v>
      </c>
      <c r="F31" t="s">
        <v>1557</v>
      </c>
      <c r="G31">
        <v>3.2887004606520102E-2</v>
      </c>
      <c r="H31" t="s">
        <v>42</v>
      </c>
      <c r="I31" t="s">
        <v>51</v>
      </c>
      <c r="J31" t="s">
        <v>1650</v>
      </c>
    </row>
    <row r="32" spans="1:10" x14ac:dyDescent="0.2">
      <c r="A32">
        <v>10992</v>
      </c>
      <c r="B32">
        <v>1.6254341866604399E-4</v>
      </c>
      <c r="C32">
        <v>3</v>
      </c>
      <c r="D32">
        <v>8</v>
      </c>
      <c r="E32" t="s">
        <v>514</v>
      </c>
      <c r="F32" t="s">
        <v>515</v>
      </c>
      <c r="G32">
        <v>9.8033999382957804E-3</v>
      </c>
      <c r="H32" t="s">
        <v>42</v>
      </c>
      <c r="I32" t="s">
        <v>51</v>
      </c>
      <c r="J32" t="s">
        <v>1650</v>
      </c>
    </row>
    <row r="33" spans="1:10" x14ac:dyDescent="0.2">
      <c r="A33">
        <v>4091</v>
      </c>
      <c r="B33">
        <v>7.7102280560001801E-4</v>
      </c>
      <c r="C33">
        <v>2</v>
      </c>
      <c r="D33">
        <v>46</v>
      </c>
      <c r="E33" t="s">
        <v>1558</v>
      </c>
      <c r="F33" t="s">
        <v>1559</v>
      </c>
      <c r="G33">
        <v>3.1434609034834499E-2</v>
      </c>
      <c r="H33" t="s">
        <v>42</v>
      </c>
      <c r="I33" t="s">
        <v>51</v>
      </c>
      <c r="J33" t="s">
        <v>1650</v>
      </c>
    </row>
    <row r="34" spans="1:10" x14ac:dyDescent="0.2">
      <c r="A34">
        <v>1506</v>
      </c>
      <c r="B34">
        <v>3.00868087073714E-4</v>
      </c>
      <c r="C34">
        <v>2</v>
      </c>
      <c r="D34">
        <v>397</v>
      </c>
      <c r="E34" t="s">
        <v>1560</v>
      </c>
      <c r="F34" t="s">
        <v>1561</v>
      </c>
      <c r="G34">
        <v>1.5779223044898601E-2</v>
      </c>
      <c r="H34" t="s">
        <v>42</v>
      </c>
      <c r="I34" t="s">
        <v>51</v>
      </c>
      <c r="J34" t="s">
        <v>1650</v>
      </c>
    </row>
    <row r="35" spans="1:10" x14ac:dyDescent="0.2">
      <c r="A35">
        <v>982</v>
      </c>
      <c r="B35">
        <v>2.5763985081778499E-23</v>
      </c>
      <c r="C35">
        <v>5</v>
      </c>
      <c r="D35">
        <v>12139</v>
      </c>
      <c r="E35" t="s">
        <v>1562</v>
      </c>
      <c r="F35" t="s">
        <v>1562</v>
      </c>
      <c r="G35">
        <v>1.2431122801958101E-19</v>
      </c>
      <c r="H35" t="s">
        <v>42</v>
      </c>
      <c r="I35" t="s">
        <v>51</v>
      </c>
      <c r="J35" t="s">
        <v>1650</v>
      </c>
    </row>
    <row r="36" spans="1:10" x14ac:dyDescent="0.2">
      <c r="A36">
        <v>-1599</v>
      </c>
      <c r="B36">
        <v>1.4199066532875299E-4</v>
      </c>
      <c r="C36">
        <v>2</v>
      </c>
      <c r="D36">
        <v>390</v>
      </c>
      <c r="E36" t="s">
        <v>108</v>
      </c>
      <c r="F36" t="s">
        <v>109</v>
      </c>
      <c r="G36">
        <v>9.0145389501477997E-3</v>
      </c>
      <c r="H36" t="s">
        <v>42</v>
      </c>
      <c r="I36" t="s">
        <v>337</v>
      </c>
      <c r="J36" t="s">
        <v>1650</v>
      </c>
    </row>
    <row r="37" spans="1:10" x14ac:dyDescent="0.2">
      <c r="A37">
        <v>-918</v>
      </c>
      <c r="B37">
        <v>8.3445122654766306E-5</v>
      </c>
      <c r="C37">
        <v>3</v>
      </c>
      <c r="D37">
        <v>1309</v>
      </c>
      <c r="E37" t="s">
        <v>531</v>
      </c>
      <c r="F37" t="s">
        <v>1563</v>
      </c>
      <c r="G37">
        <v>6.0092942807350403E-3</v>
      </c>
      <c r="H37" t="s">
        <v>42</v>
      </c>
      <c r="I37" t="s">
        <v>337</v>
      </c>
      <c r="J37" t="s">
        <v>1650</v>
      </c>
    </row>
    <row r="38" spans="1:10" x14ac:dyDescent="0.2">
      <c r="A38">
        <v>-9078</v>
      </c>
      <c r="B38">
        <v>7.1972301194173397E-5</v>
      </c>
      <c r="C38">
        <v>4</v>
      </c>
      <c r="D38">
        <v>13</v>
      </c>
      <c r="E38" t="s">
        <v>1564</v>
      </c>
      <c r="F38" t="s">
        <v>1565</v>
      </c>
      <c r="G38">
        <v>5.3425592809521003E-3</v>
      </c>
      <c r="H38" t="s">
        <v>42</v>
      </c>
      <c r="I38" t="s">
        <v>337</v>
      </c>
      <c r="J38" t="s">
        <v>1650</v>
      </c>
    </row>
    <row r="39" spans="1:10" x14ac:dyDescent="0.2">
      <c r="A39">
        <v>-1242</v>
      </c>
      <c r="B39">
        <v>9.5093486243570095E-7</v>
      </c>
      <c r="C39">
        <v>1</v>
      </c>
      <c r="D39">
        <v>1100</v>
      </c>
      <c r="E39" t="s">
        <v>56</v>
      </c>
      <c r="F39" t="s">
        <v>57</v>
      </c>
      <c r="G39">
        <v>1.5821588659490501E-4</v>
      </c>
      <c r="H39" t="s">
        <v>42</v>
      </c>
      <c r="I39" t="s">
        <v>337</v>
      </c>
      <c r="J39" t="s">
        <v>1657</v>
      </c>
    </row>
    <row r="40" spans="1:10" x14ac:dyDescent="0.2">
      <c r="A40">
        <v>-1646</v>
      </c>
      <c r="B40">
        <v>1.0431421167046199E-6</v>
      </c>
      <c r="C40">
        <v>2</v>
      </c>
      <c r="D40">
        <v>611</v>
      </c>
      <c r="E40" t="s">
        <v>353</v>
      </c>
      <c r="F40" t="s">
        <v>354</v>
      </c>
      <c r="G40">
        <v>1.6777202376999301E-4</v>
      </c>
      <c r="H40" t="s">
        <v>42</v>
      </c>
      <c r="I40" t="s">
        <v>337</v>
      </c>
      <c r="J40" t="s">
        <v>1650</v>
      </c>
    </row>
    <row r="41" spans="1:10" x14ac:dyDescent="0.2">
      <c r="A41">
        <v>-949</v>
      </c>
      <c r="B41">
        <v>1.59985563033682E-5</v>
      </c>
      <c r="C41">
        <v>5</v>
      </c>
      <c r="D41">
        <v>1481</v>
      </c>
      <c r="E41" t="s">
        <v>62</v>
      </c>
      <c r="F41" t="s">
        <v>63</v>
      </c>
      <c r="G41">
        <v>1.67810943834243E-3</v>
      </c>
      <c r="H41" t="s">
        <v>42</v>
      </c>
      <c r="I41" t="s">
        <v>337</v>
      </c>
      <c r="J41" t="s">
        <v>1650</v>
      </c>
    </row>
    <row r="42" spans="1:10" x14ac:dyDescent="0.2">
      <c r="A42">
        <v>-1313</v>
      </c>
      <c r="B42">
        <v>1.64309626647594E-16</v>
      </c>
      <c r="C42">
        <v>2</v>
      </c>
      <c r="D42">
        <v>2995</v>
      </c>
      <c r="E42" t="s">
        <v>64</v>
      </c>
      <c r="F42" t="s">
        <v>65</v>
      </c>
      <c r="G42">
        <v>3.9639697428732001E-13</v>
      </c>
      <c r="H42" t="s">
        <v>42</v>
      </c>
      <c r="I42" t="s">
        <v>337</v>
      </c>
      <c r="J42" t="s">
        <v>1650</v>
      </c>
    </row>
    <row r="43" spans="1:10" x14ac:dyDescent="0.2">
      <c r="A43">
        <v>-1655</v>
      </c>
      <c r="B43">
        <v>1.0716284175777299E-9</v>
      </c>
      <c r="C43">
        <v>2</v>
      </c>
      <c r="D43">
        <v>954</v>
      </c>
      <c r="E43" t="s">
        <v>66</v>
      </c>
      <c r="F43" t="s">
        <v>67</v>
      </c>
      <c r="G43">
        <v>5.7451190164583905E-7</v>
      </c>
      <c r="H43" t="s">
        <v>42</v>
      </c>
      <c r="I43" t="s">
        <v>337</v>
      </c>
      <c r="J43" t="s">
        <v>1650</v>
      </c>
    </row>
    <row r="44" spans="1:10" x14ac:dyDescent="0.2">
      <c r="A44">
        <v>-1153</v>
      </c>
      <c r="B44">
        <v>4.1582376577008803E-4</v>
      </c>
      <c r="C44">
        <v>3</v>
      </c>
      <c r="D44">
        <v>652</v>
      </c>
      <c r="E44" t="s">
        <v>124</v>
      </c>
      <c r="F44" t="s">
        <v>125</v>
      </c>
      <c r="G44">
        <v>2.0063496698406701E-2</v>
      </c>
      <c r="H44" t="s">
        <v>42</v>
      </c>
      <c r="I44" t="s">
        <v>337</v>
      </c>
      <c r="J44" t="s">
        <v>1650</v>
      </c>
    </row>
    <row r="45" spans="1:10" x14ac:dyDescent="0.2">
      <c r="A45">
        <v>-1991</v>
      </c>
      <c r="B45">
        <v>8.2125726431780395E-6</v>
      </c>
      <c r="C45">
        <v>2</v>
      </c>
      <c r="D45">
        <v>345</v>
      </c>
      <c r="E45" t="s">
        <v>126</v>
      </c>
      <c r="F45" t="s">
        <v>127</v>
      </c>
      <c r="G45">
        <v>9.4346816674604898E-4</v>
      </c>
      <c r="H45" t="s">
        <v>42</v>
      </c>
      <c r="I45" t="s">
        <v>337</v>
      </c>
      <c r="J45" t="s">
        <v>1650</v>
      </c>
    </row>
    <row r="46" spans="1:10" x14ac:dyDescent="0.2">
      <c r="A46">
        <v>-2630</v>
      </c>
      <c r="B46">
        <v>2.83696098753655E-4</v>
      </c>
      <c r="C46">
        <v>4</v>
      </c>
      <c r="D46">
        <v>130</v>
      </c>
      <c r="E46" t="s">
        <v>660</v>
      </c>
      <c r="F46" t="s">
        <v>661</v>
      </c>
      <c r="G46">
        <v>1.5733720419383701E-2</v>
      </c>
      <c r="H46" t="s">
        <v>42</v>
      </c>
      <c r="I46" t="s">
        <v>337</v>
      </c>
      <c r="J46" t="s">
        <v>1650</v>
      </c>
    </row>
    <row r="47" spans="1:10" x14ac:dyDescent="0.2">
      <c r="A47">
        <v>-1538</v>
      </c>
      <c r="B47">
        <v>2.61532893784594E-4</v>
      </c>
      <c r="C47">
        <v>3</v>
      </c>
      <c r="D47">
        <v>388</v>
      </c>
      <c r="E47" t="s">
        <v>359</v>
      </c>
      <c r="F47" t="s">
        <v>360</v>
      </c>
      <c r="G47">
        <v>1.4845837794243101E-2</v>
      </c>
      <c r="H47" t="s">
        <v>42</v>
      </c>
      <c r="I47" t="s">
        <v>337</v>
      </c>
      <c r="J47" t="s">
        <v>1650</v>
      </c>
    </row>
    <row r="48" spans="1:10" x14ac:dyDescent="0.2">
      <c r="A48">
        <v>-896</v>
      </c>
      <c r="B48">
        <v>3.9900467818482901E-8</v>
      </c>
      <c r="C48">
        <v>4</v>
      </c>
      <c r="D48">
        <v>2833</v>
      </c>
      <c r="E48" t="s">
        <v>361</v>
      </c>
      <c r="F48" t="s">
        <v>362</v>
      </c>
      <c r="G48">
        <v>1.0695542068009999E-5</v>
      </c>
      <c r="H48" t="s">
        <v>42</v>
      </c>
      <c r="I48" t="s">
        <v>337</v>
      </c>
      <c r="J48" t="s">
        <v>1653</v>
      </c>
    </row>
    <row r="49" spans="1:10" x14ac:dyDescent="0.2">
      <c r="A49">
        <v>-1997</v>
      </c>
      <c r="B49">
        <v>3.0168453800435102E-8</v>
      </c>
      <c r="C49">
        <v>5</v>
      </c>
      <c r="D49">
        <v>533</v>
      </c>
      <c r="E49" t="s">
        <v>664</v>
      </c>
      <c r="F49" t="s">
        <v>665</v>
      </c>
      <c r="G49">
        <v>8.5868508185576094E-6</v>
      </c>
      <c r="H49" t="s">
        <v>42</v>
      </c>
      <c r="I49" t="s">
        <v>337</v>
      </c>
      <c r="J49" t="s">
        <v>1650</v>
      </c>
    </row>
    <row r="50" spans="1:10" x14ac:dyDescent="0.2">
      <c r="A50">
        <v>-2248</v>
      </c>
      <c r="B50">
        <v>7.9917243027134504E-4</v>
      </c>
      <c r="C50">
        <v>6</v>
      </c>
      <c r="D50">
        <v>152</v>
      </c>
      <c r="E50" t="s">
        <v>1566</v>
      </c>
      <c r="F50" t="s">
        <v>1567</v>
      </c>
      <c r="G50">
        <v>3.2133391467160301E-2</v>
      </c>
      <c r="H50" t="s">
        <v>42</v>
      </c>
      <c r="I50" t="s">
        <v>337</v>
      </c>
      <c r="J50" t="s">
        <v>1650</v>
      </c>
    </row>
    <row r="51" spans="1:10" x14ac:dyDescent="0.2">
      <c r="A51">
        <v>-848</v>
      </c>
      <c r="B51">
        <v>1.12117879678158E-3</v>
      </c>
      <c r="C51">
        <v>2</v>
      </c>
      <c r="D51">
        <v>1042</v>
      </c>
      <c r="E51" t="s">
        <v>1568</v>
      </c>
      <c r="F51" t="s">
        <v>1569</v>
      </c>
      <c r="G51">
        <v>4.0717387408091998E-2</v>
      </c>
      <c r="H51" t="s">
        <v>42</v>
      </c>
      <c r="I51" t="s">
        <v>337</v>
      </c>
      <c r="J51" t="s">
        <v>1650</v>
      </c>
    </row>
    <row r="52" spans="1:10" x14ac:dyDescent="0.2">
      <c r="A52">
        <v>-1431</v>
      </c>
      <c r="B52">
        <v>1.6524903521411201E-9</v>
      </c>
      <c r="C52">
        <v>2</v>
      </c>
      <c r="D52">
        <v>1261</v>
      </c>
      <c r="E52" t="s">
        <v>672</v>
      </c>
      <c r="F52" t="s">
        <v>673</v>
      </c>
      <c r="G52">
        <v>7.9732659490809003E-7</v>
      </c>
      <c r="H52" t="s">
        <v>42</v>
      </c>
      <c r="I52" t="s">
        <v>337</v>
      </c>
      <c r="J52" t="s">
        <v>1650</v>
      </c>
    </row>
    <row r="53" spans="1:10" x14ac:dyDescent="0.2">
      <c r="A53">
        <v>-1099</v>
      </c>
      <c r="B53">
        <v>1.4288453199183999E-3</v>
      </c>
      <c r="C53">
        <v>4</v>
      </c>
      <c r="D53">
        <v>584</v>
      </c>
      <c r="E53" t="s">
        <v>130</v>
      </c>
      <c r="F53" t="s">
        <v>131</v>
      </c>
      <c r="G53">
        <v>4.68899748548538E-2</v>
      </c>
      <c r="H53" t="s">
        <v>42</v>
      </c>
      <c r="I53" t="s">
        <v>337</v>
      </c>
      <c r="J53" t="s">
        <v>131</v>
      </c>
    </row>
    <row r="54" spans="1:10" x14ac:dyDescent="0.2">
      <c r="A54">
        <v>-833</v>
      </c>
      <c r="B54">
        <v>7.0210894512819804E-4</v>
      </c>
      <c r="C54">
        <v>2</v>
      </c>
      <c r="D54">
        <v>1173</v>
      </c>
      <c r="E54" t="s">
        <v>132</v>
      </c>
      <c r="F54" t="s">
        <v>133</v>
      </c>
      <c r="G54">
        <v>2.97164531600312E-2</v>
      </c>
      <c r="H54" t="s">
        <v>42</v>
      </c>
      <c r="I54" t="s">
        <v>337</v>
      </c>
      <c r="J54" t="s">
        <v>1650</v>
      </c>
    </row>
    <row r="55" spans="1:10" x14ac:dyDescent="0.2">
      <c r="A55">
        <v>-946</v>
      </c>
      <c r="B55">
        <v>5.4480007832322699E-8</v>
      </c>
      <c r="C55">
        <v>2</v>
      </c>
      <c r="D55">
        <v>2456</v>
      </c>
      <c r="E55" t="s">
        <v>11</v>
      </c>
      <c r="F55" t="s">
        <v>12</v>
      </c>
      <c r="G55">
        <v>1.38350546205767E-5</v>
      </c>
      <c r="H55" t="s">
        <v>42</v>
      </c>
      <c r="I55" t="s">
        <v>337</v>
      </c>
      <c r="J55" t="s">
        <v>1656</v>
      </c>
    </row>
    <row r="56" spans="1:10" x14ac:dyDescent="0.2">
      <c r="A56">
        <v>-1423</v>
      </c>
      <c r="B56">
        <v>2.6596923711782298E-6</v>
      </c>
      <c r="C56">
        <v>3</v>
      </c>
      <c r="D56">
        <v>760</v>
      </c>
      <c r="E56" t="s">
        <v>13</v>
      </c>
      <c r="F56" t="s">
        <v>14</v>
      </c>
      <c r="G56">
        <v>3.8887926336166501E-4</v>
      </c>
      <c r="H56" t="s">
        <v>42</v>
      </c>
      <c r="I56" t="s">
        <v>337</v>
      </c>
      <c r="J56" t="s">
        <v>14</v>
      </c>
    </row>
    <row r="57" spans="1:10" x14ac:dyDescent="0.2">
      <c r="A57">
        <v>-1596</v>
      </c>
      <c r="B57">
        <v>3.13015271585016E-6</v>
      </c>
      <c r="C57">
        <v>2</v>
      </c>
      <c r="D57">
        <v>592</v>
      </c>
      <c r="E57" t="s">
        <v>134</v>
      </c>
      <c r="F57" t="s">
        <v>135</v>
      </c>
      <c r="G57">
        <v>4.3151391011362901E-4</v>
      </c>
      <c r="H57" t="s">
        <v>42</v>
      </c>
      <c r="I57" t="s">
        <v>337</v>
      </c>
      <c r="J57" t="s">
        <v>1657</v>
      </c>
    </row>
    <row r="58" spans="1:10" x14ac:dyDescent="0.2">
      <c r="A58">
        <v>-721</v>
      </c>
      <c r="B58">
        <v>3.45161567965966E-4</v>
      </c>
      <c r="C58">
        <v>2</v>
      </c>
      <c r="D58">
        <v>1786</v>
      </c>
      <c r="E58" t="s">
        <v>140</v>
      </c>
      <c r="F58" t="s">
        <v>141</v>
      </c>
      <c r="G58">
        <v>1.7530574373008301E-2</v>
      </c>
      <c r="H58" t="s">
        <v>42</v>
      </c>
      <c r="I58" t="s">
        <v>337</v>
      </c>
      <c r="J58" t="s">
        <v>1650</v>
      </c>
    </row>
    <row r="59" spans="1:10" x14ac:dyDescent="0.2">
      <c r="A59">
        <v>-1443</v>
      </c>
      <c r="B59">
        <v>4.5701594326880999E-5</v>
      </c>
      <c r="C59">
        <v>2</v>
      </c>
      <c r="D59">
        <v>553</v>
      </c>
      <c r="E59" t="s">
        <v>1570</v>
      </c>
      <c r="F59" t="s">
        <v>1571</v>
      </c>
      <c r="G59">
        <v>3.9376820112000102E-3</v>
      </c>
      <c r="H59" t="s">
        <v>42</v>
      </c>
      <c r="I59" t="s">
        <v>337</v>
      </c>
      <c r="J59" t="s">
        <v>1650</v>
      </c>
    </row>
    <row r="60" spans="1:10" x14ac:dyDescent="0.2">
      <c r="A60">
        <v>-953</v>
      </c>
      <c r="B60">
        <v>3.53425995929184E-6</v>
      </c>
      <c r="C60">
        <v>4</v>
      </c>
      <c r="D60">
        <v>1710</v>
      </c>
      <c r="E60" t="s">
        <v>686</v>
      </c>
      <c r="F60" t="s">
        <v>687</v>
      </c>
      <c r="G60">
        <v>4.56566707214263E-4</v>
      </c>
      <c r="H60" t="s">
        <v>42</v>
      </c>
      <c r="I60" t="s">
        <v>337</v>
      </c>
      <c r="J60" t="s">
        <v>1650</v>
      </c>
    </row>
    <row r="61" spans="1:10" x14ac:dyDescent="0.2">
      <c r="A61">
        <v>-1212</v>
      </c>
      <c r="B61">
        <v>3.5504727164258298E-4</v>
      </c>
      <c r="C61">
        <v>2</v>
      </c>
      <c r="D61">
        <v>603</v>
      </c>
      <c r="E61" t="s">
        <v>1572</v>
      </c>
      <c r="F61" t="s">
        <v>1205</v>
      </c>
      <c r="G61">
        <v>1.7844823809119399E-2</v>
      </c>
      <c r="H61" t="s">
        <v>42</v>
      </c>
      <c r="I61" t="s">
        <v>337</v>
      </c>
      <c r="J61" t="s">
        <v>1650</v>
      </c>
    </row>
    <row r="62" spans="1:10" x14ac:dyDescent="0.2">
      <c r="A62">
        <v>-1803</v>
      </c>
      <c r="B62">
        <v>2.9061502426203399E-4</v>
      </c>
      <c r="C62">
        <v>3</v>
      </c>
      <c r="D62">
        <v>277</v>
      </c>
      <c r="E62" t="s">
        <v>1573</v>
      </c>
      <c r="F62" t="s">
        <v>1574</v>
      </c>
      <c r="G62">
        <v>1.5779223044898601E-2</v>
      </c>
      <c r="H62" t="s">
        <v>42</v>
      </c>
      <c r="I62" t="s">
        <v>337</v>
      </c>
      <c r="J62" t="s">
        <v>1650</v>
      </c>
    </row>
    <row r="63" spans="1:10" x14ac:dyDescent="0.2">
      <c r="A63">
        <v>-1417</v>
      </c>
      <c r="B63">
        <v>3.0542164283784398E-5</v>
      </c>
      <c r="C63">
        <v>2</v>
      </c>
      <c r="D63">
        <v>601</v>
      </c>
      <c r="E63" t="s">
        <v>156</v>
      </c>
      <c r="F63" t="s">
        <v>157</v>
      </c>
      <c r="G63">
        <v>2.8178822271557901E-3</v>
      </c>
      <c r="H63" t="s">
        <v>42</v>
      </c>
      <c r="I63" t="s">
        <v>337</v>
      </c>
      <c r="J63" t="s">
        <v>1655</v>
      </c>
    </row>
    <row r="64" spans="1:10" x14ac:dyDescent="0.2">
      <c r="A64">
        <v>-924</v>
      </c>
      <c r="B64">
        <v>3.4281038712231099E-5</v>
      </c>
      <c r="C64">
        <v>2</v>
      </c>
      <c r="D64">
        <v>1438</v>
      </c>
      <c r="E64" t="s">
        <v>370</v>
      </c>
      <c r="F64" t="s">
        <v>371</v>
      </c>
      <c r="G64">
        <v>3.0073820324820898E-3</v>
      </c>
      <c r="H64" t="s">
        <v>42</v>
      </c>
      <c r="I64" t="s">
        <v>337</v>
      </c>
      <c r="J64" t="s">
        <v>1650</v>
      </c>
    </row>
    <row r="65" spans="1:10" x14ac:dyDescent="0.2">
      <c r="A65">
        <v>-779</v>
      </c>
      <c r="B65">
        <v>5.3024098132822004E-4</v>
      </c>
      <c r="C65">
        <v>2</v>
      </c>
      <c r="D65">
        <v>1415</v>
      </c>
      <c r="E65" t="s">
        <v>15</v>
      </c>
      <c r="F65" t="s">
        <v>16</v>
      </c>
      <c r="G65">
        <v>2.3910399391669699E-2</v>
      </c>
      <c r="H65" t="s">
        <v>42</v>
      </c>
      <c r="I65" t="s">
        <v>337</v>
      </c>
      <c r="J65" t="s">
        <v>1650</v>
      </c>
    </row>
    <row r="66" spans="1:10" x14ac:dyDescent="0.2">
      <c r="A66">
        <v>-2095</v>
      </c>
      <c r="B66">
        <v>8.2949642247101497E-4</v>
      </c>
      <c r="C66">
        <v>4</v>
      </c>
      <c r="D66">
        <v>174</v>
      </c>
      <c r="E66" t="s">
        <v>17</v>
      </c>
      <c r="F66" t="s">
        <v>18</v>
      </c>
      <c r="G66">
        <v>3.2887004606520102E-2</v>
      </c>
      <c r="H66" t="s">
        <v>42</v>
      </c>
      <c r="I66" t="s">
        <v>337</v>
      </c>
      <c r="J66" t="s">
        <v>1650</v>
      </c>
    </row>
    <row r="67" spans="1:10" x14ac:dyDescent="0.2">
      <c r="A67">
        <v>-1068</v>
      </c>
      <c r="B67">
        <v>1.5487627622437E-3</v>
      </c>
      <c r="C67">
        <v>3</v>
      </c>
      <c r="D67">
        <v>610</v>
      </c>
      <c r="E67" t="s">
        <v>1575</v>
      </c>
      <c r="F67" t="s">
        <v>1576</v>
      </c>
      <c r="G67">
        <v>4.8950403186067297E-2</v>
      </c>
      <c r="H67" t="s">
        <v>42</v>
      </c>
      <c r="I67" t="s">
        <v>337</v>
      </c>
      <c r="J67" t="s">
        <v>1650</v>
      </c>
    </row>
    <row r="68" spans="1:10" x14ac:dyDescent="0.2">
      <c r="A68">
        <v>-807</v>
      </c>
      <c r="B68">
        <v>7.4072386917939999E-4</v>
      </c>
      <c r="C68">
        <v>2</v>
      </c>
      <c r="D68">
        <v>1242</v>
      </c>
      <c r="E68" t="s">
        <v>1577</v>
      </c>
      <c r="F68" t="s">
        <v>1578</v>
      </c>
      <c r="G68">
        <v>3.0546945887099199E-2</v>
      </c>
      <c r="H68" t="s">
        <v>42</v>
      </c>
      <c r="I68" t="s">
        <v>337</v>
      </c>
      <c r="J68" t="s">
        <v>1650</v>
      </c>
    </row>
    <row r="69" spans="1:10" x14ac:dyDescent="0.2">
      <c r="A69">
        <v>-1411</v>
      </c>
      <c r="B69">
        <v>6.7260059124569297E-7</v>
      </c>
      <c r="C69">
        <v>2</v>
      </c>
      <c r="D69">
        <v>869</v>
      </c>
      <c r="E69" t="s">
        <v>72</v>
      </c>
      <c r="F69" t="s">
        <v>73</v>
      </c>
      <c r="G69">
        <v>1.2019621676890601E-4</v>
      </c>
      <c r="H69" t="s">
        <v>42</v>
      </c>
      <c r="I69" t="s">
        <v>337</v>
      </c>
      <c r="J69" t="s">
        <v>1650</v>
      </c>
    </row>
    <row r="70" spans="1:10" x14ac:dyDescent="0.2">
      <c r="A70">
        <v>-1266</v>
      </c>
      <c r="B70">
        <v>1.07603501802116E-3</v>
      </c>
      <c r="C70">
        <v>5</v>
      </c>
      <c r="D70">
        <v>461</v>
      </c>
      <c r="E70" t="s">
        <v>168</v>
      </c>
      <c r="F70" t="s">
        <v>169</v>
      </c>
      <c r="G70">
        <v>3.9849448594101097E-2</v>
      </c>
      <c r="H70" t="s">
        <v>42</v>
      </c>
      <c r="I70" t="s">
        <v>337</v>
      </c>
      <c r="J70" t="s">
        <v>1655</v>
      </c>
    </row>
    <row r="71" spans="1:10" x14ac:dyDescent="0.2">
      <c r="A71">
        <v>-1349</v>
      </c>
      <c r="B71">
        <v>3.6603903082379799E-13</v>
      </c>
      <c r="C71">
        <v>2</v>
      </c>
      <c r="D71">
        <v>2130</v>
      </c>
      <c r="E71" t="s">
        <v>1579</v>
      </c>
      <c r="F71" t="s">
        <v>22</v>
      </c>
      <c r="G71">
        <v>4.4153458093120603E-10</v>
      </c>
      <c r="H71" t="s">
        <v>42</v>
      </c>
      <c r="I71" t="s">
        <v>337</v>
      </c>
      <c r="J71" t="s">
        <v>1650</v>
      </c>
    </row>
    <row r="72" spans="1:10" x14ac:dyDescent="0.2">
      <c r="A72">
        <v>-1509</v>
      </c>
      <c r="B72">
        <v>2.7215120071705502E-13</v>
      </c>
      <c r="C72">
        <v>2</v>
      </c>
      <c r="D72">
        <v>1695</v>
      </c>
      <c r="E72" t="s">
        <v>74</v>
      </c>
      <c r="F72" t="s">
        <v>75</v>
      </c>
      <c r="G72">
        <v>4.3770984781993001E-10</v>
      </c>
      <c r="H72" t="s">
        <v>42</v>
      </c>
      <c r="I72" t="s">
        <v>337</v>
      </c>
      <c r="J72" t="s">
        <v>1650</v>
      </c>
    </row>
    <row r="73" spans="1:10" x14ac:dyDescent="0.2">
      <c r="A73">
        <v>-1506</v>
      </c>
      <c r="B73">
        <v>4.0054068739230597E-6</v>
      </c>
      <c r="C73">
        <v>2</v>
      </c>
      <c r="D73">
        <v>652</v>
      </c>
      <c r="E73" t="s">
        <v>76</v>
      </c>
      <c r="F73" t="s">
        <v>77</v>
      </c>
      <c r="G73">
        <v>4.9554072222253204E-4</v>
      </c>
      <c r="H73" t="s">
        <v>42</v>
      </c>
      <c r="I73" t="s">
        <v>337</v>
      </c>
      <c r="J73" t="s">
        <v>1650</v>
      </c>
    </row>
    <row r="74" spans="1:10" x14ac:dyDescent="0.2">
      <c r="A74">
        <v>-879</v>
      </c>
      <c r="B74">
        <v>1.5844513567885199E-7</v>
      </c>
      <c r="C74">
        <v>2</v>
      </c>
      <c r="D74">
        <v>2666</v>
      </c>
      <c r="E74" t="s">
        <v>1580</v>
      </c>
      <c r="F74" t="s">
        <v>1581</v>
      </c>
      <c r="G74">
        <v>3.4749899075020903E-5</v>
      </c>
      <c r="H74" t="s">
        <v>42</v>
      </c>
      <c r="I74" t="s">
        <v>337</v>
      </c>
      <c r="J74" t="s">
        <v>1650</v>
      </c>
    </row>
    <row r="75" spans="1:10" x14ac:dyDescent="0.2">
      <c r="A75">
        <v>-1977</v>
      </c>
      <c r="B75">
        <v>2.9995388793486999E-4</v>
      </c>
      <c r="C75">
        <v>2</v>
      </c>
      <c r="D75">
        <v>229</v>
      </c>
      <c r="E75" t="s">
        <v>1217</v>
      </c>
      <c r="F75" t="s">
        <v>1218</v>
      </c>
      <c r="G75">
        <v>1.5779223044898601E-2</v>
      </c>
      <c r="H75" t="s">
        <v>42</v>
      </c>
      <c r="I75" t="s">
        <v>337</v>
      </c>
      <c r="J75" t="s">
        <v>1650</v>
      </c>
    </row>
    <row r="76" spans="1:10" x14ac:dyDescent="0.2">
      <c r="A76">
        <v>-2110</v>
      </c>
      <c r="B76">
        <v>3.8304675209893398E-7</v>
      </c>
      <c r="C76">
        <v>3</v>
      </c>
      <c r="D76">
        <v>399</v>
      </c>
      <c r="E76" t="s">
        <v>708</v>
      </c>
      <c r="F76" t="s">
        <v>709</v>
      </c>
      <c r="G76">
        <v>7.3928023155094298E-5</v>
      </c>
      <c r="H76" t="s">
        <v>42</v>
      </c>
      <c r="I76" t="s">
        <v>337</v>
      </c>
      <c r="J76" t="s">
        <v>1650</v>
      </c>
    </row>
    <row r="77" spans="1:10" x14ac:dyDescent="0.2">
      <c r="A77">
        <v>-2528</v>
      </c>
      <c r="B77">
        <v>3.4274962871050401E-4</v>
      </c>
      <c r="C77">
        <v>2</v>
      </c>
      <c r="D77">
        <v>137</v>
      </c>
      <c r="E77" t="s">
        <v>1582</v>
      </c>
      <c r="F77" t="s">
        <v>1583</v>
      </c>
      <c r="G77">
        <v>1.7530574373008301E-2</v>
      </c>
      <c r="H77" t="s">
        <v>42</v>
      </c>
      <c r="I77" t="s">
        <v>337</v>
      </c>
      <c r="J77" t="s">
        <v>1650</v>
      </c>
    </row>
    <row r="78" spans="1:10" x14ac:dyDescent="0.2">
      <c r="A78">
        <v>-1109</v>
      </c>
      <c r="B78">
        <v>9.8715662722126604E-10</v>
      </c>
      <c r="C78">
        <v>2</v>
      </c>
      <c r="D78">
        <v>2240</v>
      </c>
      <c r="E78" t="s">
        <v>80</v>
      </c>
      <c r="F78" t="s">
        <v>81</v>
      </c>
      <c r="G78">
        <v>5.7451190164583905E-7</v>
      </c>
      <c r="H78" t="s">
        <v>42</v>
      </c>
      <c r="I78" t="s">
        <v>337</v>
      </c>
      <c r="J78" t="s">
        <v>1650</v>
      </c>
    </row>
    <row r="79" spans="1:10" x14ac:dyDescent="0.2">
      <c r="A79">
        <v>-1295</v>
      </c>
      <c r="B79">
        <v>1.22749833409833E-3</v>
      </c>
      <c r="C79">
        <v>3</v>
      </c>
      <c r="D79">
        <v>430</v>
      </c>
      <c r="E79" t="s">
        <v>172</v>
      </c>
      <c r="F79" t="s">
        <v>173</v>
      </c>
      <c r="G79">
        <v>4.26092047627658E-2</v>
      </c>
      <c r="H79" t="s">
        <v>42</v>
      </c>
      <c r="I79" t="s">
        <v>337</v>
      </c>
      <c r="J79" t="s">
        <v>1650</v>
      </c>
    </row>
    <row r="80" spans="1:10" x14ac:dyDescent="0.2">
      <c r="A80">
        <v>-793</v>
      </c>
      <c r="B80">
        <v>8.9607639711709397E-4</v>
      </c>
      <c r="C80">
        <v>4</v>
      </c>
      <c r="D80">
        <v>1246</v>
      </c>
      <c r="E80" t="s">
        <v>711</v>
      </c>
      <c r="F80" t="s">
        <v>712</v>
      </c>
      <c r="G80">
        <v>3.4314036635634697E-2</v>
      </c>
      <c r="H80" t="s">
        <v>42</v>
      </c>
      <c r="I80" t="s">
        <v>337</v>
      </c>
      <c r="J80" t="s">
        <v>1650</v>
      </c>
    </row>
    <row r="81" spans="1:10" x14ac:dyDescent="0.2">
      <c r="A81">
        <v>-2164</v>
      </c>
      <c r="B81">
        <v>1.4480012960359E-3</v>
      </c>
      <c r="C81">
        <v>2</v>
      </c>
      <c r="D81">
        <v>148</v>
      </c>
      <c r="E81" t="s">
        <v>378</v>
      </c>
      <c r="F81" t="s">
        <v>379</v>
      </c>
      <c r="G81">
        <v>4.68899748548538E-2</v>
      </c>
      <c r="H81" t="s">
        <v>42</v>
      </c>
      <c r="I81" t="s">
        <v>337</v>
      </c>
      <c r="J81" t="s">
        <v>1650</v>
      </c>
    </row>
    <row r="82" spans="1:10" x14ac:dyDescent="0.2">
      <c r="A82">
        <v>-2831</v>
      </c>
      <c r="B82">
        <v>2.5200286273795701E-4</v>
      </c>
      <c r="C82">
        <v>2</v>
      </c>
      <c r="D82">
        <v>114</v>
      </c>
      <c r="E82" t="s">
        <v>1584</v>
      </c>
      <c r="F82" t="s">
        <v>1585</v>
      </c>
      <c r="G82">
        <v>1.44751644370315E-2</v>
      </c>
      <c r="H82" t="s">
        <v>42</v>
      </c>
      <c r="I82" t="s">
        <v>337</v>
      </c>
      <c r="J82" t="s">
        <v>1650</v>
      </c>
    </row>
    <row r="83" spans="1:10" x14ac:dyDescent="0.2">
      <c r="A83">
        <v>-4201</v>
      </c>
      <c r="B83">
        <v>6.9950468144776097E-5</v>
      </c>
      <c r="C83">
        <v>2</v>
      </c>
      <c r="D83">
        <v>61</v>
      </c>
      <c r="E83" t="s">
        <v>1586</v>
      </c>
      <c r="F83" t="s">
        <v>1587</v>
      </c>
      <c r="G83">
        <v>5.3425592809521003E-3</v>
      </c>
      <c r="H83" t="s">
        <v>42</v>
      </c>
      <c r="I83" t="s">
        <v>337</v>
      </c>
      <c r="J83" t="s">
        <v>1650</v>
      </c>
    </row>
    <row r="84" spans="1:10" x14ac:dyDescent="0.2">
      <c r="A84">
        <v>-1885</v>
      </c>
      <c r="B84">
        <v>1.2470308534981499E-7</v>
      </c>
      <c r="C84">
        <v>2</v>
      </c>
      <c r="D84">
        <v>545</v>
      </c>
      <c r="E84" t="s">
        <v>176</v>
      </c>
      <c r="F84" t="s">
        <v>177</v>
      </c>
      <c r="G84">
        <v>3.0084619340642901E-5</v>
      </c>
      <c r="H84" t="s">
        <v>42</v>
      </c>
      <c r="I84" t="s">
        <v>337</v>
      </c>
      <c r="J84" t="s">
        <v>1650</v>
      </c>
    </row>
    <row r="85" spans="1:10" x14ac:dyDescent="0.2">
      <c r="A85">
        <v>-4847</v>
      </c>
      <c r="B85">
        <v>2.4309403508560899E-4</v>
      </c>
      <c r="C85">
        <v>3</v>
      </c>
      <c r="D85">
        <v>39</v>
      </c>
      <c r="E85" t="s">
        <v>1588</v>
      </c>
      <c r="F85" t="s">
        <v>1589</v>
      </c>
      <c r="G85">
        <v>1.4304008771805699E-2</v>
      </c>
      <c r="H85" t="s">
        <v>42</v>
      </c>
      <c r="I85" t="s">
        <v>337</v>
      </c>
      <c r="J85" t="s">
        <v>1650</v>
      </c>
    </row>
    <row r="86" spans="1:10" x14ac:dyDescent="0.2">
      <c r="A86">
        <v>-1289</v>
      </c>
      <c r="B86">
        <v>2.2654743440881899E-5</v>
      </c>
      <c r="C86">
        <v>2</v>
      </c>
      <c r="D86">
        <v>754</v>
      </c>
      <c r="E86" t="s">
        <v>180</v>
      </c>
      <c r="F86" t="s">
        <v>181</v>
      </c>
      <c r="G86">
        <v>2.1861827420450999E-3</v>
      </c>
      <c r="H86" t="s">
        <v>42</v>
      </c>
      <c r="I86" t="s">
        <v>337</v>
      </c>
      <c r="J86" t="s">
        <v>1655</v>
      </c>
    </row>
    <row r="87" spans="1:10" x14ac:dyDescent="0.2">
      <c r="A87">
        <v>-2281</v>
      </c>
      <c r="B87">
        <v>8.5712545038008292E-6</v>
      </c>
      <c r="C87">
        <v>2</v>
      </c>
      <c r="D87">
        <v>261</v>
      </c>
      <c r="E87" t="s">
        <v>182</v>
      </c>
      <c r="F87" t="s">
        <v>183</v>
      </c>
      <c r="G87">
        <v>9.6177448792648804E-4</v>
      </c>
      <c r="H87" t="s">
        <v>42</v>
      </c>
      <c r="I87" t="s">
        <v>337</v>
      </c>
      <c r="J87" t="s">
        <v>1650</v>
      </c>
    </row>
    <row r="88" spans="1:10" x14ac:dyDescent="0.2">
      <c r="A88">
        <v>-1616</v>
      </c>
      <c r="B88">
        <v>8.3606909723423199E-10</v>
      </c>
      <c r="C88">
        <v>1</v>
      </c>
      <c r="D88">
        <v>1016</v>
      </c>
      <c r="E88" t="s">
        <v>184</v>
      </c>
      <c r="F88" t="s">
        <v>185</v>
      </c>
      <c r="G88">
        <v>5.7451190164583905E-7</v>
      </c>
      <c r="H88" t="s">
        <v>42</v>
      </c>
      <c r="I88" t="s">
        <v>337</v>
      </c>
      <c r="J88" t="s">
        <v>1650</v>
      </c>
    </row>
    <row r="89" spans="1:10" x14ac:dyDescent="0.2">
      <c r="A89">
        <v>-1283</v>
      </c>
      <c r="B89">
        <v>2.1507890832012499E-5</v>
      </c>
      <c r="C89">
        <v>3</v>
      </c>
      <c r="D89">
        <v>766</v>
      </c>
      <c r="E89" t="s">
        <v>727</v>
      </c>
      <c r="F89" t="s">
        <v>728</v>
      </c>
      <c r="G89">
        <v>2.1619911096762601E-3</v>
      </c>
      <c r="H89" t="s">
        <v>42</v>
      </c>
      <c r="I89" t="s">
        <v>337</v>
      </c>
      <c r="J89" t="s">
        <v>1650</v>
      </c>
    </row>
    <row r="90" spans="1:10" x14ac:dyDescent="0.2">
      <c r="A90">
        <v>-756</v>
      </c>
      <c r="B90">
        <v>6.8419543810530403E-5</v>
      </c>
      <c r="C90">
        <v>2</v>
      </c>
      <c r="D90">
        <v>2031</v>
      </c>
      <c r="E90" t="s">
        <v>186</v>
      </c>
      <c r="F90" t="s">
        <v>187</v>
      </c>
      <c r="G90">
        <v>5.3245854659001498E-3</v>
      </c>
      <c r="H90" t="s">
        <v>42</v>
      </c>
      <c r="I90" t="s">
        <v>337</v>
      </c>
      <c r="J90" t="s">
        <v>1650</v>
      </c>
    </row>
    <row r="91" spans="1:10" x14ac:dyDescent="0.2">
      <c r="A91">
        <v>-813</v>
      </c>
      <c r="B91">
        <v>1.3811036475402499E-4</v>
      </c>
      <c r="C91">
        <v>3</v>
      </c>
      <c r="D91">
        <v>1579</v>
      </c>
      <c r="E91" t="s">
        <v>735</v>
      </c>
      <c r="F91" t="s">
        <v>736</v>
      </c>
      <c r="G91">
        <v>8.8933976329717696E-3</v>
      </c>
      <c r="H91" t="s">
        <v>42</v>
      </c>
      <c r="I91" t="s">
        <v>337</v>
      </c>
      <c r="J91" t="s">
        <v>1650</v>
      </c>
    </row>
    <row r="92" spans="1:10" x14ac:dyDescent="0.2">
      <c r="A92">
        <v>-1018</v>
      </c>
      <c r="B92">
        <v>8.8646247392908898E-4</v>
      </c>
      <c r="C92">
        <v>2</v>
      </c>
      <c r="D92">
        <v>744</v>
      </c>
      <c r="E92" t="s">
        <v>1590</v>
      </c>
      <c r="F92" t="s">
        <v>944</v>
      </c>
      <c r="G92">
        <v>3.4314036635634697E-2</v>
      </c>
      <c r="H92" t="s">
        <v>42</v>
      </c>
      <c r="I92" t="s">
        <v>337</v>
      </c>
      <c r="J92" t="s">
        <v>1650</v>
      </c>
    </row>
    <row r="93" spans="1:10" x14ac:dyDescent="0.2">
      <c r="A93">
        <v>-2641</v>
      </c>
      <c r="B93">
        <v>8.9139767922322502E-4</v>
      </c>
      <c r="C93">
        <v>4</v>
      </c>
      <c r="D93">
        <v>108</v>
      </c>
      <c r="E93" t="s">
        <v>1591</v>
      </c>
      <c r="F93" t="s">
        <v>1592</v>
      </c>
      <c r="G93">
        <v>3.4314036635634697E-2</v>
      </c>
      <c r="H93" t="s">
        <v>42</v>
      </c>
      <c r="I93" t="s">
        <v>337</v>
      </c>
      <c r="J93" t="s">
        <v>1650</v>
      </c>
    </row>
    <row r="94" spans="1:10" x14ac:dyDescent="0.2">
      <c r="A94">
        <v>-1216</v>
      </c>
      <c r="B94">
        <v>9.9614797345641407E-10</v>
      </c>
      <c r="C94">
        <v>2</v>
      </c>
      <c r="D94">
        <v>1834</v>
      </c>
      <c r="E94" t="s">
        <v>206</v>
      </c>
      <c r="F94" t="s">
        <v>207</v>
      </c>
      <c r="G94">
        <v>5.7451190164583905E-7</v>
      </c>
      <c r="H94" t="s">
        <v>42</v>
      </c>
      <c r="I94" t="s">
        <v>337</v>
      </c>
      <c r="J94" t="s">
        <v>1653</v>
      </c>
    </row>
    <row r="95" spans="1:10" x14ac:dyDescent="0.2">
      <c r="A95">
        <v>-1831</v>
      </c>
      <c r="B95">
        <v>3.0254189412534597E-8</v>
      </c>
      <c r="C95">
        <v>2</v>
      </c>
      <c r="D95">
        <v>636</v>
      </c>
      <c r="E95" t="s">
        <v>208</v>
      </c>
      <c r="F95" t="s">
        <v>209</v>
      </c>
      <c r="G95">
        <v>8.5868508185576094E-6</v>
      </c>
      <c r="H95" t="s">
        <v>42</v>
      </c>
      <c r="I95" t="s">
        <v>337</v>
      </c>
      <c r="J95" t="s">
        <v>1653</v>
      </c>
    </row>
    <row r="96" spans="1:10" x14ac:dyDescent="0.2">
      <c r="A96">
        <v>-1363</v>
      </c>
      <c r="B96">
        <v>3.6799216561879798E-7</v>
      </c>
      <c r="C96">
        <v>3</v>
      </c>
      <c r="D96">
        <v>979</v>
      </c>
      <c r="E96" t="s">
        <v>210</v>
      </c>
      <c r="F96" t="s">
        <v>211</v>
      </c>
      <c r="G96">
        <v>7.3928023155094298E-5</v>
      </c>
      <c r="H96" t="s">
        <v>42</v>
      </c>
      <c r="I96" t="s">
        <v>337</v>
      </c>
      <c r="J96" t="s">
        <v>1653</v>
      </c>
    </row>
    <row r="97" spans="1:10" x14ac:dyDescent="0.2">
      <c r="A97">
        <v>-821</v>
      </c>
      <c r="B97">
        <v>3.2911995412776203E-5</v>
      </c>
      <c r="C97">
        <v>2</v>
      </c>
      <c r="D97">
        <v>1858</v>
      </c>
      <c r="E97" t="s">
        <v>747</v>
      </c>
      <c r="F97" t="s">
        <v>748</v>
      </c>
      <c r="G97">
        <v>2.9407477382712099E-3</v>
      </c>
      <c r="H97" t="s">
        <v>42</v>
      </c>
      <c r="I97" t="s">
        <v>337</v>
      </c>
      <c r="J97" t="s">
        <v>1650</v>
      </c>
    </row>
    <row r="98" spans="1:10" x14ac:dyDescent="0.2">
      <c r="A98">
        <v>-777</v>
      </c>
      <c r="B98">
        <v>1.0819228530211901E-3</v>
      </c>
      <c r="C98">
        <v>2</v>
      </c>
      <c r="D98">
        <v>1258</v>
      </c>
      <c r="E98" t="s">
        <v>222</v>
      </c>
      <c r="F98" t="s">
        <v>223</v>
      </c>
      <c r="G98">
        <v>3.9849448594101097E-2</v>
      </c>
      <c r="H98" t="s">
        <v>42</v>
      </c>
      <c r="I98" t="s">
        <v>337</v>
      </c>
      <c r="J98" t="s">
        <v>1656</v>
      </c>
    </row>
    <row r="99" spans="1:10" x14ac:dyDescent="0.2">
      <c r="A99">
        <v>-1855</v>
      </c>
      <c r="B99">
        <v>1.4397107885001899E-3</v>
      </c>
      <c r="C99">
        <v>3</v>
      </c>
      <c r="D99">
        <v>202</v>
      </c>
      <c r="E99" t="s">
        <v>1593</v>
      </c>
      <c r="F99" t="s">
        <v>1594</v>
      </c>
      <c r="G99">
        <v>4.68899748548538E-2</v>
      </c>
      <c r="H99" t="s">
        <v>42</v>
      </c>
      <c r="I99" t="s">
        <v>337</v>
      </c>
      <c r="J99" t="s">
        <v>1650</v>
      </c>
    </row>
    <row r="100" spans="1:10" x14ac:dyDescent="0.2">
      <c r="A100">
        <v>-1852</v>
      </c>
      <c r="B100">
        <v>1.42679697617026E-3</v>
      </c>
      <c r="C100">
        <v>3</v>
      </c>
      <c r="D100">
        <v>203</v>
      </c>
      <c r="E100" t="s">
        <v>1595</v>
      </c>
      <c r="F100" t="s">
        <v>1596</v>
      </c>
      <c r="G100">
        <v>4.68899748548538E-2</v>
      </c>
      <c r="H100" t="s">
        <v>42</v>
      </c>
      <c r="I100" t="s">
        <v>337</v>
      </c>
      <c r="J100" t="s">
        <v>1656</v>
      </c>
    </row>
    <row r="101" spans="1:10" x14ac:dyDescent="0.2">
      <c r="A101">
        <v>-2263</v>
      </c>
      <c r="B101">
        <v>1.1957046353664299E-3</v>
      </c>
      <c r="C101">
        <v>3</v>
      </c>
      <c r="D101">
        <v>140</v>
      </c>
      <c r="E101" t="s">
        <v>1597</v>
      </c>
      <c r="F101" t="s">
        <v>1598</v>
      </c>
      <c r="G101">
        <v>4.1806339606108897E-2</v>
      </c>
      <c r="H101" t="s">
        <v>42</v>
      </c>
      <c r="I101" t="s">
        <v>337</v>
      </c>
      <c r="J101" t="s">
        <v>1650</v>
      </c>
    </row>
    <row r="102" spans="1:10" x14ac:dyDescent="0.2">
      <c r="A102">
        <v>-2202</v>
      </c>
      <c r="B102">
        <v>3.2771036927562098E-4</v>
      </c>
      <c r="C102">
        <v>2</v>
      </c>
      <c r="D102">
        <v>182</v>
      </c>
      <c r="E102" t="s">
        <v>1599</v>
      </c>
      <c r="F102" t="s">
        <v>1600</v>
      </c>
      <c r="G102">
        <v>1.70021777608051E-2</v>
      </c>
      <c r="H102" t="s">
        <v>42</v>
      </c>
      <c r="I102" t="s">
        <v>337</v>
      </c>
      <c r="J102" t="s">
        <v>1650</v>
      </c>
    </row>
    <row r="103" spans="1:10" x14ac:dyDescent="0.2">
      <c r="A103">
        <v>-1596</v>
      </c>
      <c r="B103">
        <v>2.31812596423925E-10</v>
      </c>
      <c r="C103">
        <v>4</v>
      </c>
      <c r="D103">
        <v>1115</v>
      </c>
      <c r="E103" t="s">
        <v>224</v>
      </c>
      <c r="F103" t="s">
        <v>225</v>
      </c>
      <c r="G103">
        <v>2.23699155549088E-7</v>
      </c>
      <c r="H103" t="s">
        <v>42</v>
      </c>
      <c r="I103" t="s">
        <v>337</v>
      </c>
      <c r="J103" t="s">
        <v>1650</v>
      </c>
    </row>
    <row r="104" spans="1:10" x14ac:dyDescent="0.2">
      <c r="A104">
        <v>-4638</v>
      </c>
      <c r="B104">
        <v>5.2816203638461395E-4</v>
      </c>
      <c r="C104">
        <v>2</v>
      </c>
      <c r="D104">
        <v>38</v>
      </c>
      <c r="E104" t="s">
        <v>1244</v>
      </c>
      <c r="F104" t="s">
        <v>1245</v>
      </c>
      <c r="G104">
        <v>2.3910399391669699E-2</v>
      </c>
      <c r="H104" t="s">
        <v>42</v>
      </c>
      <c r="I104" t="s">
        <v>337</v>
      </c>
      <c r="J104" t="s">
        <v>1650</v>
      </c>
    </row>
    <row r="105" spans="1:10" x14ac:dyDescent="0.2">
      <c r="A105">
        <v>-900</v>
      </c>
      <c r="B105">
        <v>1.0563009211308799E-4</v>
      </c>
      <c r="C105">
        <v>4</v>
      </c>
      <c r="D105">
        <v>1323</v>
      </c>
      <c r="E105" t="s">
        <v>1601</v>
      </c>
      <c r="F105" t="s">
        <v>1602</v>
      </c>
      <c r="G105">
        <v>7.3306025747988997E-3</v>
      </c>
      <c r="H105" t="s">
        <v>42</v>
      </c>
      <c r="I105" t="s">
        <v>337</v>
      </c>
      <c r="J105" t="s">
        <v>1650</v>
      </c>
    </row>
    <row r="106" spans="1:10" x14ac:dyDescent="0.2">
      <c r="A106">
        <v>-2042</v>
      </c>
      <c r="B106">
        <v>1.06350710929725E-4</v>
      </c>
      <c r="C106">
        <v>3</v>
      </c>
      <c r="D106">
        <v>247</v>
      </c>
      <c r="E106" t="s">
        <v>400</v>
      </c>
      <c r="F106" t="s">
        <v>401</v>
      </c>
      <c r="G106">
        <v>7.3306025747988997E-3</v>
      </c>
      <c r="H106" t="s">
        <v>42</v>
      </c>
      <c r="I106" t="s">
        <v>337</v>
      </c>
      <c r="J106" t="s">
        <v>1653</v>
      </c>
    </row>
    <row r="107" spans="1:10" x14ac:dyDescent="0.2">
      <c r="A107">
        <v>-980</v>
      </c>
      <c r="B107">
        <v>4.9654736089085297E-5</v>
      </c>
      <c r="C107">
        <v>3</v>
      </c>
      <c r="D107">
        <v>1216</v>
      </c>
      <c r="E107" t="s">
        <v>230</v>
      </c>
      <c r="F107" t="s">
        <v>231</v>
      </c>
      <c r="G107">
        <v>4.2032298531550303E-3</v>
      </c>
      <c r="H107" t="s">
        <v>42</v>
      </c>
      <c r="I107" t="s">
        <v>337</v>
      </c>
      <c r="J107" t="s">
        <v>131</v>
      </c>
    </row>
    <row r="108" spans="1:10" x14ac:dyDescent="0.2">
      <c r="A108">
        <v>-2233</v>
      </c>
      <c r="B108">
        <v>6.5882379851324403E-4</v>
      </c>
      <c r="C108">
        <v>2</v>
      </c>
      <c r="D108">
        <v>159</v>
      </c>
      <c r="E108" t="s">
        <v>1603</v>
      </c>
      <c r="F108" t="s">
        <v>1604</v>
      </c>
      <c r="G108">
        <v>2.83823645341643E-2</v>
      </c>
      <c r="H108" t="s">
        <v>42</v>
      </c>
      <c r="I108" t="s">
        <v>337</v>
      </c>
      <c r="J108" t="s">
        <v>1650</v>
      </c>
    </row>
    <row r="109" spans="1:10" x14ac:dyDescent="0.2">
      <c r="A109">
        <v>-3007</v>
      </c>
      <c r="B109">
        <v>1.4957258792425601E-3</v>
      </c>
      <c r="C109">
        <v>2</v>
      </c>
      <c r="D109">
        <v>76</v>
      </c>
      <c r="E109" t="s">
        <v>232</v>
      </c>
      <c r="F109" t="s">
        <v>233</v>
      </c>
      <c r="G109">
        <v>4.7793889849969198E-2</v>
      </c>
      <c r="H109" t="s">
        <v>42</v>
      </c>
      <c r="I109" t="s">
        <v>337</v>
      </c>
      <c r="J109" t="s">
        <v>1650</v>
      </c>
    </row>
    <row r="110" spans="1:10" x14ac:dyDescent="0.2">
      <c r="A110">
        <v>-6024</v>
      </c>
      <c r="B110">
        <v>4.5966845535885798E-4</v>
      </c>
      <c r="C110">
        <v>2</v>
      </c>
      <c r="D110">
        <v>23</v>
      </c>
      <c r="E110" t="s">
        <v>1605</v>
      </c>
      <c r="F110" t="s">
        <v>1606</v>
      </c>
      <c r="G110">
        <v>2.1533012593266902E-2</v>
      </c>
      <c r="H110" t="s">
        <v>42</v>
      </c>
      <c r="I110" t="s">
        <v>337</v>
      </c>
      <c r="J110" t="s">
        <v>1650</v>
      </c>
    </row>
    <row r="111" spans="1:10" x14ac:dyDescent="0.2">
      <c r="A111">
        <v>-1197</v>
      </c>
      <c r="B111">
        <v>2.4742604379001998E-4</v>
      </c>
      <c r="C111">
        <v>2</v>
      </c>
      <c r="D111">
        <v>652</v>
      </c>
      <c r="E111" t="s">
        <v>771</v>
      </c>
      <c r="F111" t="s">
        <v>772</v>
      </c>
      <c r="G111">
        <v>1.4383501943215001E-2</v>
      </c>
      <c r="H111" t="s">
        <v>42</v>
      </c>
      <c r="I111" t="s">
        <v>337</v>
      </c>
      <c r="J111" t="s">
        <v>1650</v>
      </c>
    </row>
    <row r="112" spans="1:10" x14ac:dyDescent="0.2">
      <c r="A112">
        <v>-2258</v>
      </c>
      <c r="B112">
        <v>1.3751280849638401E-7</v>
      </c>
      <c r="C112">
        <v>4</v>
      </c>
      <c r="D112">
        <v>375</v>
      </c>
      <c r="E112" t="s">
        <v>585</v>
      </c>
      <c r="F112" t="s">
        <v>586</v>
      </c>
      <c r="G112">
        <v>3.15952048092882E-5</v>
      </c>
      <c r="H112" t="s">
        <v>42</v>
      </c>
      <c r="I112" t="s">
        <v>337</v>
      </c>
      <c r="J112" t="s">
        <v>1657</v>
      </c>
    </row>
    <row r="113" spans="1:10" x14ac:dyDescent="0.2">
      <c r="A113">
        <v>-863</v>
      </c>
      <c r="B113">
        <v>6.08681763746065E-4</v>
      </c>
      <c r="C113">
        <v>3</v>
      </c>
      <c r="D113">
        <v>1115</v>
      </c>
      <c r="E113" t="s">
        <v>777</v>
      </c>
      <c r="F113" t="s">
        <v>778</v>
      </c>
      <c r="G113">
        <v>2.66989955461342E-2</v>
      </c>
      <c r="H113" t="s">
        <v>42</v>
      </c>
      <c r="I113" t="s">
        <v>337</v>
      </c>
      <c r="J113" t="s">
        <v>1650</v>
      </c>
    </row>
    <row r="114" spans="1:10" x14ac:dyDescent="0.2">
      <c r="A114">
        <v>-1519</v>
      </c>
      <c r="B114">
        <v>3.7229413782978899E-4</v>
      </c>
      <c r="C114">
        <v>2</v>
      </c>
      <c r="D114">
        <v>378</v>
      </c>
      <c r="E114" t="s">
        <v>1607</v>
      </c>
      <c r="F114" t="s">
        <v>1608</v>
      </c>
      <c r="G114">
        <v>1.8329787908456401E-2</v>
      </c>
      <c r="H114" t="s">
        <v>42</v>
      </c>
      <c r="I114" t="s">
        <v>337</v>
      </c>
      <c r="J114" t="s">
        <v>1650</v>
      </c>
    </row>
    <row r="115" spans="1:10" x14ac:dyDescent="0.2">
      <c r="A115">
        <v>-2367</v>
      </c>
      <c r="B115">
        <v>3.63776357480241E-4</v>
      </c>
      <c r="C115">
        <v>2</v>
      </c>
      <c r="D115">
        <v>155</v>
      </c>
      <c r="E115" t="s">
        <v>1609</v>
      </c>
      <c r="F115" t="s">
        <v>1610</v>
      </c>
      <c r="G115">
        <v>1.8095061080846998E-2</v>
      </c>
      <c r="H115" t="s">
        <v>42</v>
      </c>
      <c r="I115" t="s">
        <v>337</v>
      </c>
      <c r="J115" t="s">
        <v>1650</v>
      </c>
    </row>
    <row r="116" spans="1:10" x14ac:dyDescent="0.2">
      <c r="A116">
        <v>-1434</v>
      </c>
      <c r="B116">
        <v>3.59575852313824E-6</v>
      </c>
      <c r="C116">
        <v>7</v>
      </c>
      <c r="D116">
        <v>728</v>
      </c>
      <c r="E116" t="s">
        <v>88</v>
      </c>
      <c r="F116" t="s">
        <v>89</v>
      </c>
      <c r="G116">
        <v>4.56566707214263E-4</v>
      </c>
      <c r="H116" t="s">
        <v>42</v>
      </c>
      <c r="I116" t="s">
        <v>337</v>
      </c>
      <c r="J116" t="s">
        <v>1650</v>
      </c>
    </row>
    <row r="117" spans="1:10" x14ac:dyDescent="0.2">
      <c r="A117">
        <v>-1436</v>
      </c>
      <c r="B117">
        <v>2.91704752423694E-9</v>
      </c>
      <c r="C117">
        <v>5</v>
      </c>
      <c r="D117">
        <v>1212</v>
      </c>
      <c r="E117" t="s">
        <v>242</v>
      </c>
      <c r="F117" t="s">
        <v>1150</v>
      </c>
      <c r="G117">
        <v>1.23069891217594E-6</v>
      </c>
      <c r="H117" t="s">
        <v>42</v>
      </c>
      <c r="I117" t="s">
        <v>337</v>
      </c>
      <c r="J117" t="s">
        <v>1650</v>
      </c>
    </row>
    <row r="118" spans="1:10" x14ac:dyDescent="0.2">
      <c r="A118">
        <v>-1503</v>
      </c>
      <c r="B118">
        <v>2.9865697392793597E-4</v>
      </c>
      <c r="C118">
        <v>4</v>
      </c>
      <c r="D118">
        <v>399</v>
      </c>
      <c r="E118" t="s">
        <v>416</v>
      </c>
      <c r="F118" t="s">
        <v>417</v>
      </c>
      <c r="G118">
        <v>1.5779223044898601E-2</v>
      </c>
      <c r="H118" t="s">
        <v>42</v>
      </c>
      <c r="I118" t="s">
        <v>337</v>
      </c>
      <c r="J118" t="s">
        <v>1650</v>
      </c>
    </row>
    <row r="119" spans="1:10" x14ac:dyDescent="0.2">
      <c r="A119">
        <v>-1450</v>
      </c>
      <c r="B119">
        <v>1.75280810402908E-5</v>
      </c>
      <c r="C119">
        <v>2</v>
      </c>
      <c r="D119">
        <v>609</v>
      </c>
      <c r="E119" t="s">
        <v>246</v>
      </c>
      <c r="F119" t="s">
        <v>247</v>
      </c>
      <c r="G119">
        <v>1.79942534083836E-3</v>
      </c>
      <c r="H119" t="s">
        <v>42</v>
      </c>
      <c r="I119" t="s">
        <v>337</v>
      </c>
      <c r="J119" t="s">
        <v>1650</v>
      </c>
    </row>
    <row r="120" spans="1:10" x14ac:dyDescent="0.2">
      <c r="A120">
        <v>-3780</v>
      </c>
      <c r="B120">
        <v>8.5317382538497601E-4</v>
      </c>
      <c r="C120">
        <v>4</v>
      </c>
      <c r="D120">
        <v>53</v>
      </c>
      <c r="E120" t="s">
        <v>1255</v>
      </c>
      <c r="F120" t="s">
        <v>1256</v>
      </c>
      <c r="G120">
        <v>3.3467997621808999E-2</v>
      </c>
      <c r="H120" t="s">
        <v>42</v>
      </c>
      <c r="I120" t="s">
        <v>337</v>
      </c>
      <c r="J120" t="s">
        <v>1650</v>
      </c>
    </row>
    <row r="121" spans="1:10" x14ac:dyDescent="0.2">
      <c r="A121">
        <v>-2206</v>
      </c>
      <c r="B121">
        <v>4.0218071865378001E-4</v>
      </c>
      <c r="C121">
        <v>3</v>
      </c>
      <c r="D121">
        <v>176</v>
      </c>
      <c r="E121" t="s">
        <v>420</v>
      </c>
      <c r="F121" t="s">
        <v>421</v>
      </c>
      <c r="G121">
        <v>1.9601231994994799E-2</v>
      </c>
      <c r="H121" t="s">
        <v>42</v>
      </c>
      <c r="I121" t="s">
        <v>337</v>
      </c>
      <c r="J121" t="s">
        <v>1657</v>
      </c>
    </row>
    <row r="122" spans="1:10" x14ac:dyDescent="0.2">
      <c r="A122">
        <v>-2674</v>
      </c>
      <c r="B122">
        <v>4.1091636781822401E-6</v>
      </c>
      <c r="C122">
        <v>6</v>
      </c>
      <c r="D122">
        <v>203</v>
      </c>
      <c r="E122" t="s">
        <v>1257</v>
      </c>
      <c r="F122" t="s">
        <v>1258</v>
      </c>
      <c r="G122">
        <v>4.9566786868073301E-4</v>
      </c>
      <c r="H122" t="s">
        <v>42</v>
      </c>
      <c r="I122" t="s">
        <v>337</v>
      </c>
      <c r="J122" t="s">
        <v>1650</v>
      </c>
    </row>
    <row r="123" spans="1:10" x14ac:dyDescent="0.2">
      <c r="A123">
        <v>-3224</v>
      </c>
      <c r="B123">
        <v>1.2777882995780999E-3</v>
      </c>
      <c r="C123">
        <v>3</v>
      </c>
      <c r="D123">
        <v>68</v>
      </c>
      <c r="E123" t="s">
        <v>1611</v>
      </c>
      <c r="F123" t="s">
        <v>1612</v>
      </c>
      <c r="G123">
        <v>4.3417806658199498E-2</v>
      </c>
      <c r="H123" t="s">
        <v>42</v>
      </c>
      <c r="I123" t="s">
        <v>337</v>
      </c>
      <c r="J123" t="s">
        <v>1657</v>
      </c>
    </row>
    <row r="124" spans="1:10" x14ac:dyDescent="0.2">
      <c r="A124">
        <v>-2936</v>
      </c>
      <c r="B124">
        <v>5.6451739463593195E-4</v>
      </c>
      <c r="C124">
        <v>2</v>
      </c>
      <c r="D124">
        <v>94</v>
      </c>
      <c r="E124" t="s">
        <v>1613</v>
      </c>
      <c r="F124" t="s">
        <v>1614</v>
      </c>
      <c r="G124">
        <v>2.5107414295508699E-2</v>
      </c>
      <c r="H124" t="s">
        <v>42</v>
      </c>
      <c r="I124" t="s">
        <v>337</v>
      </c>
      <c r="J124" t="s">
        <v>1650</v>
      </c>
    </row>
    <row r="125" spans="1:10" x14ac:dyDescent="0.2">
      <c r="A125">
        <v>-1475</v>
      </c>
      <c r="B125">
        <v>4.4107436333485598E-4</v>
      </c>
      <c r="C125">
        <v>2</v>
      </c>
      <c r="D125">
        <v>391</v>
      </c>
      <c r="E125" t="s">
        <v>1615</v>
      </c>
      <c r="F125" t="s">
        <v>1616</v>
      </c>
      <c r="G125">
        <v>2.0864547089124299E-2</v>
      </c>
      <c r="H125" t="s">
        <v>42</v>
      </c>
      <c r="I125" t="s">
        <v>337</v>
      </c>
      <c r="J125" t="s">
        <v>1650</v>
      </c>
    </row>
    <row r="126" spans="1:10" x14ac:dyDescent="0.2">
      <c r="A126">
        <v>-1592</v>
      </c>
      <c r="B126">
        <v>1.3276835205538399E-3</v>
      </c>
      <c r="C126">
        <v>6</v>
      </c>
      <c r="D126">
        <v>279</v>
      </c>
      <c r="E126" t="s">
        <v>1617</v>
      </c>
      <c r="F126" t="s">
        <v>1618</v>
      </c>
      <c r="G126">
        <v>4.44866179630019E-2</v>
      </c>
      <c r="H126" t="s">
        <v>42</v>
      </c>
      <c r="I126" t="s">
        <v>337</v>
      </c>
      <c r="J126" t="s">
        <v>1650</v>
      </c>
    </row>
    <row r="127" spans="1:10" x14ac:dyDescent="0.2">
      <c r="A127">
        <v>-4184</v>
      </c>
      <c r="B127">
        <v>1.12822510501931E-4</v>
      </c>
      <c r="C127">
        <v>7</v>
      </c>
      <c r="D127">
        <v>58</v>
      </c>
      <c r="E127" t="s">
        <v>1619</v>
      </c>
      <c r="F127" t="s">
        <v>1620</v>
      </c>
      <c r="G127">
        <v>7.5606751829418997E-3</v>
      </c>
      <c r="H127" t="s">
        <v>42</v>
      </c>
      <c r="I127" t="s">
        <v>337</v>
      </c>
      <c r="J127" t="s">
        <v>1650</v>
      </c>
    </row>
    <row r="128" spans="1:10" x14ac:dyDescent="0.2">
      <c r="A128">
        <v>-1008</v>
      </c>
      <c r="B128">
        <v>2.0221612816188401E-8</v>
      </c>
      <c r="C128">
        <v>2</v>
      </c>
      <c r="D128">
        <v>2286</v>
      </c>
      <c r="E128" t="s">
        <v>789</v>
      </c>
      <c r="F128" t="s">
        <v>790</v>
      </c>
      <c r="G128">
        <v>6.5046187892072696E-6</v>
      </c>
      <c r="H128" t="s">
        <v>42</v>
      </c>
      <c r="I128" t="s">
        <v>337</v>
      </c>
      <c r="J128" t="s">
        <v>1650</v>
      </c>
    </row>
    <row r="129" spans="1:10" x14ac:dyDescent="0.2">
      <c r="A129">
        <v>-3043</v>
      </c>
      <c r="B129">
        <v>1.3823934144515699E-4</v>
      </c>
      <c r="C129">
        <v>3</v>
      </c>
      <c r="D129">
        <v>107</v>
      </c>
      <c r="E129" t="s">
        <v>601</v>
      </c>
      <c r="F129" t="s">
        <v>602</v>
      </c>
      <c r="G129">
        <v>8.8933976329717696E-3</v>
      </c>
      <c r="H129" t="s">
        <v>42</v>
      </c>
      <c r="I129" t="s">
        <v>337</v>
      </c>
      <c r="J129" t="s">
        <v>1650</v>
      </c>
    </row>
    <row r="130" spans="1:10" x14ac:dyDescent="0.2">
      <c r="A130">
        <v>-3361</v>
      </c>
      <c r="B130">
        <v>1.12236529021269E-3</v>
      </c>
      <c r="C130">
        <v>2</v>
      </c>
      <c r="D130">
        <v>64</v>
      </c>
      <c r="E130" t="s">
        <v>254</v>
      </c>
      <c r="F130" t="s">
        <v>255</v>
      </c>
      <c r="G130">
        <v>4.0717387408091998E-2</v>
      </c>
      <c r="H130" t="s">
        <v>42</v>
      </c>
      <c r="I130" t="s">
        <v>337</v>
      </c>
      <c r="J130" t="s">
        <v>1650</v>
      </c>
    </row>
    <row r="131" spans="1:10" x14ac:dyDescent="0.2">
      <c r="A131">
        <v>-9219</v>
      </c>
      <c r="B131">
        <v>1.56235483744132E-3</v>
      </c>
      <c r="C131">
        <v>2</v>
      </c>
      <c r="D131">
        <v>8</v>
      </c>
      <c r="E131" t="s">
        <v>1621</v>
      </c>
      <c r="F131" t="s">
        <v>1622</v>
      </c>
      <c r="G131">
        <v>4.8950403186067297E-2</v>
      </c>
      <c r="H131" t="s">
        <v>42</v>
      </c>
      <c r="I131" t="s">
        <v>337</v>
      </c>
      <c r="J131" t="s">
        <v>1650</v>
      </c>
    </row>
    <row r="132" spans="1:10" x14ac:dyDescent="0.2">
      <c r="A132">
        <v>-2048</v>
      </c>
      <c r="B132">
        <v>6.6702293707581394E-5</v>
      </c>
      <c r="C132">
        <v>2</v>
      </c>
      <c r="D132">
        <v>260</v>
      </c>
      <c r="E132" t="s">
        <v>791</v>
      </c>
      <c r="F132" t="s">
        <v>792</v>
      </c>
      <c r="G132">
        <v>5.2760420842472202E-3</v>
      </c>
      <c r="H132" t="s">
        <v>42</v>
      </c>
      <c r="I132" t="s">
        <v>337</v>
      </c>
      <c r="J132" t="s">
        <v>1650</v>
      </c>
    </row>
    <row r="133" spans="1:10" x14ac:dyDescent="0.2">
      <c r="A133">
        <v>-2213</v>
      </c>
      <c r="B133">
        <v>1.16942016311201E-3</v>
      </c>
      <c r="C133">
        <v>6</v>
      </c>
      <c r="D133">
        <v>147</v>
      </c>
      <c r="E133" t="s">
        <v>1623</v>
      </c>
      <c r="F133" t="s">
        <v>1624</v>
      </c>
      <c r="G133">
        <v>4.1185783116901097E-2</v>
      </c>
      <c r="H133" t="s">
        <v>42</v>
      </c>
      <c r="I133" t="s">
        <v>337</v>
      </c>
      <c r="J133" t="s">
        <v>1650</v>
      </c>
    </row>
    <row r="134" spans="1:10" x14ac:dyDescent="0.2">
      <c r="A134">
        <v>-2188</v>
      </c>
      <c r="B134">
        <v>4.65590389010586E-4</v>
      </c>
      <c r="C134">
        <v>4</v>
      </c>
      <c r="D134">
        <v>175</v>
      </c>
      <c r="E134" t="s">
        <v>1273</v>
      </c>
      <c r="F134" t="s">
        <v>1274</v>
      </c>
      <c r="G134">
        <v>2.1600707951692999E-2</v>
      </c>
      <c r="H134" t="s">
        <v>42</v>
      </c>
      <c r="I134" t="s">
        <v>337</v>
      </c>
      <c r="J134" t="s">
        <v>1650</v>
      </c>
    </row>
    <row r="135" spans="1:10" x14ac:dyDescent="0.2">
      <c r="A135">
        <v>-2635</v>
      </c>
      <c r="B135">
        <v>1.1398466838594E-3</v>
      </c>
      <c r="C135">
        <v>4</v>
      </c>
      <c r="D135">
        <v>104</v>
      </c>
      <c r="E135" t="s">
        <v>1275</v>
      </c>
      <c r="F135" t="s">
        <v>1276</v>
      </c>
      <c r="G135">
        <v>4.0738964812011898E-2</v>
      </c>
      <c r="H135" t="s">
        <v>42</v>
      </c>
      <c r="I135" t="s">
        <v>337</v>
      </c>
      <c r="J135" t="s">
        <v>1650</v>
      </c>
    </row>
    <row r="136" spans="1:10" x14ac:dyDescent="0.2">
      <c r="A136">
        <v>-927</v>
      </c>
      <c r="B136">
        <v>1.9789956379976602E-6</v>
      </c>
      <c r="C136">
        <v>2</v>
      </c>
      <c r="D136">
        <v>1918</v>
      </c>
      <c r="E136" t="s">
        <v>256</v>
      </c>
      <c r="F136" t="s">
        <v>257</v>
      </c>
      <c r="G136">
        <v>3.08021095268991E-4</v>
      </c>
      <c r="H136" t="s">
        <v>42</v>
      </c>
      <c r="I136" t="s">
        <v>337</v>
      </c>
      <c r="J136" t="s">
        <v>1650</v>
      </c>
    </row>
    <row r="137" spans="1:10" x14ac:dyDescent="0.2">
      <c r="A137">
        <v>-2076</v>
      </c>
      <c r="B137">
        <v>2.9655936139544401E-4</v>
      </c>
      <c r="C137">
        <v>5</v>
      </c>
      <c r="D137">
        <v>208</v>
      </c>
      <c r="E137" t="s">
        <v>1277</v>
      </c>
      <c r="F137" t="s">
        <v>798</v>
      </c>
      <c r="G137">
        <v>1.5779223044898601E-2</v>
      </c>
      <c r="H137" t="s">
        <v>42</v>
      </c>
      <c r="I137" t="s">
        <v>337</v>
      </c>
      <c r="J137" t="s">
        <v>1650</v>
      </c>
    </row>
    <row r="138" spans="1:10" x14ac:dyDescent="0.2">
      <c r="A138">
        <v>-1684</v>
      </c>
      <c r="B138">
        <v>1.4506271685672199E-4</v>
      </c>
      <c r="C138">
        <v>6</v>
      </c>
      <c r="D138">
        <v>350</v>
      </c>
      <c r="E138" t="s">
        <v>801</v>
      </c>
      <c r="F138" t="s">
        <v>802</v>
      </c>
      <c r="G138">
        <v>9.0899689458920005E-3</v>
      </c>
      <c r="H138" t="s">
        <v>42</v>
      </c>
      <c r="I138" t="s">
        <v>337</v>
      </c>
      <c r="J138" t="s">
        <v>1650</v>
      </c>
    </row>
    <row r="139" spans="1:10" x14ac:dyDescent="0.2">
      <c r="A139">
        <v>-1492</v>
      </c>
      <c r="B139">
        <v>9.0389699628033399E-6</v>
      </c>
      <c r="C139">
        <v>2</v>
      </c>
      <c r="D139">
        <v>615</v>
      </c>
      <c r="E139" t="s">
        <v>258</v>
      </c>
      <c r="F139" t="s">
        <v>259</v>
      </c>
      <c r="G139">
        <v>9.9120522887559404E-4</v>
      </c>
      <c r="H139" t="s">
        <v>42</v>
      </c>
      <c r="I139" t="s">
        <v>337</v>
      </c>
      <c r="J139" t="s">
        <v>1650</v>
      </c>
    </row>
    <row r="140" spans="1:10" x14ac:dyDescent="0.2">
      <c r="A140">
        <v>-1236</v>
      </c>
      <c r="B140">
        <v>4.0986485359208198E-9</v>
      </c>
      <c r="C140">
        <v>4</v>
      </c>
      <c r="D140">
        <v>1632</v>
      </c>
      <c r="E140" t="s">
        <v>431</v>
      </c>
      <c r="F140" t="s">
        <v>432</v>
      </c>
      <c r="G140">
        <v>1.5212291681398399E-6</v>
      </c>
      <c r="H140" t="s">
        <v>42</v>
      </c>
      <c r="I140" t="s">
        <v>337</v>
      </c>
      <c r="J140" t="s">
        <v>1650</v>
      </c>
    </row>
    <row r="141" spans="1:10" x14ac:dyDescent="0.2">
      <c r="A141">
        <v>-1551</v>
      </c>
      <c r="B141">
        <v>5.2949644582446898E-5</v>
      </c>
      <c r="C141">
        <v>2</v>
      </c>
      <c r="D141">
        <v>469</v>
      </c>
      <c r="E141" t="s">
        <v>262</v>
      </c>
      <c r="F141" t="s">
        <v>263</v>
      </c>
      <c r="G141">
        <v>4.4048626743156301E-3</v>
      </c>
      <c r="H141" t="s">
        <v>42</v>
      </c>
      <c r="I141" t="s">
        <v>337</v>
      </c>
      <c r="J141" t="s">
        <v>1650</v>
      </c>
    </row>
    <row r="142" spans="1:10" x14ac:dyDescent="0.2">
      <c r="A142">
        <v>-951</v>
      </c>
      <c r="B142">
        <v>1.16543472155855E-3</v>
      </c>
      <c r="C142">
        <v>5</v>
      </c>
      <c r="D142">
        <v>815</v>
      </c>
      <c r="E142" t="s">
        <v>805</v>
      </c>
      <c r="F142" t="s">
        <v>806</v>
      </c>
      <c r="G142">
        <v>4.1185783116901097E-2</v>
      </c>
      <c r="H142" t="s">
        <v>42</v>
      </c>
      <c r="I142" t="s">
        <v>337</v>
      </c>
      <c r="J142" t="s">
        <v>1650</v>
      </c>
    </row>
    <row r="143" spans="1:10" x14ac:dyDescent="0.2">
      <c r="A143">
        <v>-995</v>
      </c>
      <c r="B143">
        <v>1.2426282092747301E-3</v>
      </c>
      <c r="C143">
        <v>2</v>
      </c>
      <c r="D143">
        <v>734</v>
      </c>
      <c r="E143" t="s">
        <v>605</v>
      </c>
      <c r="F143" t="s">
        <v>606</v>
      </c>
      <c r="G143">
        <v>4.2774353899755001E-2</v>
      </c>
      <c r="H143" t="s">
        <v>42</v>
      </c>
      <c r="I143" t="s">
        <v>337</v>
      </c>
      <c r="J143" t="s">
        <v>1650</v>
      </c>
    </row>
    <row r="144" spans="1:10" x14ac:dyDescent="0.2">
      <c r="A144">
        <v>-2527</v>
      </c>
      <c r="B144">
        <v>5.6719340066537698E-4</v>
      </c>
      <c r="C144">
        <v>4</v>
      </c>
      <c r="D144">
        <v>127</v>
      </c>
      <c r="E144" t="s">
        <v>33</v>
      </c>
      <c r="F144" t="s">
        <v>1625</v>
      </c>
      <c r="G144">
        <v>2.5107414295508699E-2</v>
      </c>
      <c r="H144" t="s">
        <v>42</v>
      </c>
      <c r="I144" t="s">
        <v>337</v>
      </c>
      <c r="J144" t="s">
        <v>14</v>
      </c>
    </row>
    <row r="145" spans="1:10" x14ac:dyDescent="0.2">
      <c r="A145">
        <v>-1418</v>
      </c>
      <c r="B145">
        <v>3.6644235220805998E-7</v>
      </c>
      <c r="C145">
        <v>2</v>
      </c>
      <c r="D145">
        <v>902</v>
      </c>
      <c r="E145" t="s">
        <v>276</v>
      </c>
      <c r="F145" t="s">
        <v>277</v>
      </c>
      <c r="G145">
        <v>7.3928023155094298E-5</v>
      </c>
      <c r="H145" t="s">
        <v>42</v>
      </c>
      <c r="I145" t="s">
        <v>337</v>
      </c>
      <c r="J145" t="s">
        <v>1655</v>
      </c>
    </row>
    <row r="146" spans="1:10" x14ac:dyDescent="0.2">
      <c r="A146">
        <v>-1663</v>
      </c>
      <c r="B146">
        <v>6.0446275655961602E-5</v>
      </c>
      <c r="C146">
        <v>3</v>
      </c>
      <c r="D146">
        <v>401</v>
      </c>
      <c r="E146" t="s">
        <v>811</v>
      </c>
      <c r="F146" t="s">
        <v>812</v>
      </c>
      <c r="G146">
        <v>4.9432759328816101E-3</v>
      </c>
      <c r="H146" t="s">
        <v>42</v>
      </c>
      <c r="I146" t="s">
        <v>337</v>
      </c>
      <c r="J146" t="s">
        <v>1650</v>
      </c>
    </row>
    <row r="147" spans="1:10" x14ac:dyDescent="0.2">
      <c r="A147">
        <v>-2361</v>
      </c>
      <c r="B147">
        <v>1.72731488944591E-4</v>
      </c>
      <c r="C147">
        <v>3</v>
      </c>
      <c r="D147">
        <v>173</v>
      </c>
      <c r="E147" t="s">
        <v>1626</v>
      </c>
      <c r="F147" t="s">
        <v>1270</v>
      </c>
      <c r="G147">
        <v>1.02892522735513E-2</v>
      </c>
      <c r="H147" t="s">
        <v>42</v>
      </c>
      <c r="I147" t="s">
        <v>337</v>
      </c>
      <c r="J147" t="s">
        <v>1650</v>
      </c>
    </row>
    <row r="148" spans="1:10" x14ac:dyDescent="0.2">
      <c r="A148">
        <v>-1767</v>
      </c>
      <c r="B148">
        <v>1.5761880908966E-3</v>
      </c>
      <c r="C148">
        <v>2</v>
      </c>
      <c r="D148">
        <v>219</v>
      </c>
      <c r="E148" t="s">
        <v>1627</v>
      </c>
      <c r="F148" t="s">
        <v>1272</v>
      </c>
      <c r="G148">
        <v>4.9065209926297398E-2</v>
      </c>
      <c r="H148" t="s">
        <v>42</v>
      </c>
      <c r="I148" t="s">
        <v>337</v>
      </c>
      <c r="J148" t="s">
        <v>1650</v>
      </c>
    </row>
    <row r="149" spans="1:10" x14ac:dyDescent="0.2">
      <c r="A149">
        <v>-2000</v>
      </c>
      <c r="B149">
        <v>2.2527691187910299E-6</v>
      </c>
      <c r="C149">
        <v>2</v>
      </c>
      <c r="D149">
        <v>385</v>
      </c>
      <c r="E149" t="s">
        <v>1293</v>
      </c>
      <c r="F149" t="s">
        <v>1294</v>
      </c>
      <c r="G149">
        <v>3.3967534369270998E-4</v>
      </c>
      <c r="H149" t="s">
        <v>42</v>
      </c>
      <c r="I149" t="s">
        <v>337</v>
      </c>
      <c r="J149" t="s">
        <v>1650</v>
      </c>
    </row>
    <row r="150" spans="1:10" x14ac:dyDescent="0.2">
      <c r="A150">
        <v>-1762</v>
      </c>
      <c r="B150">
        <v>7.9594758691923004E-5</v>
      </c>
      <c r="C150">
        <v>4</v>
      </c>
      <c r="D150">
        <v>345</v>
      </c>
      <c r="E150" t="s">
        <v>1628</v>
      </c>
      <c r="F150" t="s">
        <v>1629</v>
      </c>
      <c r="G150">
        <v>5.8188592528564901E-3</v>
      </c>
      <c r="H150" t="s">
        <v>42</v>
      </c>
      <c r="I150" t="s">
        <v>337</v>
      </c>
      <c r="J150" t="s">
        <v>1650</v>
      </c>
    </row>
    <row r="151" spans="1:10" x14ac:dyDescent="0.2">
      <c r="A151">
        <v>-1047</v>
      </c>
      <c r="B151">
        <v>6.3287021593706795E-5</v>
      </c>
      <c r="C151">
        <v>2</v>
      </c>
      <c r="D151">
        <v>1028</v>
      </c>
      <c r="E151" t="s">
        <v>1630</v>
      </c>
      <c r="F151" t="s">
        <v>377</v>
      </c>
      <c r="G151">
        <v>5.0893313198272496E-3</v>
      </c>
      <c r="H151" t="s">
        <v>42</v>
      </c>
      <c r="I151" t="s">
        <v>337</v>
      </c>
      <c r="J151" t="s">
        <v>1650</v>
      </c>
    </row>
    <row r="152" spans="1:10" x14ac:dyDescent="0.2">
      <c r="A152">
        <v>-5643</v>
      </c>
      <c r="B152">
        <v>6.23197682094023E-4</v>
      </c>
      <c r="C152">
        <v>5</v>
      </c>
      <c r="D152">
        <v>25</v>
      </c>
      <c r="E152" t="s">
        <v>1631</v>
      </c>
      <c r="F152" t="s">
        <v>1632</v>
      </c>
      <c r="G152">
        <v>2.7089448793726701E-2</v>
      </c>
      <c r="H152" t="s">
        <v>42</v>
      </c>
      <c r="I152" t="s">
        <v>337</v>
      </c>
      <c r="J152" t="s">
        <v>1650</v>
      </c>
    </row>
    <row r="153" spans="1:10" x14ac:dyDescent="0.2">
      <c r="A153">
        <v>-4030</v>
      </c>
      <c r="B153">
        <v>4.8634386693775002E-4</v>
      </c>
      <c r="C153">
        <v>2</v>
      </c>
      <c r="D153">
        <v>51</v>
      </c>
      <c r="E153" t="s">
        <v>1633</v>
      </c>
      <c r="F153" t="s">
        <v>1634</v>
      </c>
      <c r="G153">
        <v>2.23486586473776E-2</v>
      </c>
      <c r="H153" t="s">
        <v>42</v>
      </c>
      <c r="I153" t="s">
        <v>337</v>
      </c>
      <c r="J153" t="s">
        <v>1650</v>
      </c>
    </row>
    <row r="154" spans="1:10" x14ac:dyDescent="0.2">
      <c r="A154">
        <v>-2341</v>
      </c>
      <c r="B154">
        <v>6.7566931999944496E-4</v>
      </c>
      <c r="C154">
        <v>2</v>
      </c>
      <c r="D154">
        <v>144</v>
      </c>
      <c r="E154" t="s">
        <v>1635</v>
      </c>
      <c r="F154" t="s">
        <v>1636</v>
      </c>
      <c r="G154">
        <v>2.8850482026525001E-2</v>
      </c>
      <c r="H154" t="s">
        <v>42</v>
      </c>
      <c r="I154" t="s">
        <v>337</v>
      </c>
      <c r="J154" t="s">
        <v>1650</v>
      </c>
    </row>
    <row r="155" spans="1:10" x14ac:dyDescent="0.2">
      <c r="A155">
        <v>-873</v>
      </c>
      <c r="B155">
        <v>1.2499863004902499E-3</v>
      </c>
      <c r="C155">
        <v>4</v>
      </c>
      <c r="D155">
        <v>960</v>
      </c>
      <c r="E155" t="s">
        <v>613</v>
      </c>
      <c r="F155" t="s">
        <v>614</v>
      </c>
      <c r="G155">
        <v>4.2774353899755001E-2</v>
      </c>
      <c r="H155" t="s">
        <v>42</v>
      </c>
      <c r="I155" t="s">
        <v>337</v>
      </c>
      <c r="J155" t="s">
        <v>1656</v>
      </c>
    </row>
    <row r="156" spans="1:10" x14ac:dyDescent="0.2">
      <c r="A156">
        <v>-1283</v>
      </c>
      <c r="B156">
        <v>1.32646682589281E-3</v>
      </c>
      <c r="C156">
        <v>2</v>
      </c>
      <c r="D156">
        <v>432</v>
      </c>
      <c r="E156" t="s">
        <v>441</v>
      </c>
      <c r="F156" t="s">
        <v>442</v>
      </c>
      <c r="G156">
        <v>4.44866179630019E-2</v>
      </c>
      <c r="H156" t="s">
        <v>42</v>
      </c>
      <c r="I156" t="s">
        <v>337</v>
      </c>
      <c r="J156" t="s">
        <v>1656</v>
      </c>
    </row>
    <row r="157" spans="1:10" x14ac:dyDescent="0.2">
      <c r="A157">
        <v>-3127</v>
      </c>
      <c r="B157">
        <v>7.1508437050498298E-5</v>
      </c>
      <c r="C157">
        <v>3</v>
      </c>
      <c r="D157">
        <v>110</v>
      </c>
      <c r="E157" t="s">
        <v>1637</v>
      </c>
      <c r="F157" t="s">
        <v>1638</v>
      </c>
      <c r="G157">
        <v>5.3425592809521003E-3</v>
      </c>
      <c r="H157" t="s">
        <v>42</v>
      </c>
      <c r="I157" t="s">
        <v>337</v>
      </c>
      <c r="J157" t="s">
        <v>1650</v>
      </c>
    </row>
    <row r="158" spans="1:10" x14ac:dyDescent="0.2">
      <c r="A158">
        <v>-1455</v>
      </c>
      <c r="B158">
        <v>1.21836684384245E-5</v>
      </c>
      <c r="C158">
        <v>3</v>
      </c>
      <c r="D158">
        <v>628</v>
      </c>
      <c r="E158" t="s">
        <v>37</v>
      </c>
      <c r="F158" t="s">
        <v>38</v>
      </c>
      <c r="G158">
        <v>1.30636000478663E-3</v>
      </c>
      <c r="H158" t="s">
        <v>42</v>
      </c>
      <c r="I158" t="s">
        <v>337</v>
      </c>
      <c r="J158" t="s">
        <v>1650</v>
      </c>
    </row>
    <row r="159" spans="1:10" x14ac:dyDescent="0.2">
      <c r="A159">
        <v>-1717</v>
      </c>
      <c r="B159">
        <v>1.0676478310964401E-3</v>
      </c>
      <c r="C159">
        <v>4</v>
      </c>
      <c r="D159">
        <v>249</v>
      </c>
      <c r="E159" t="s">
        <v>1302</v>
      </c>
      <c r="F159" t="s">
        <v>1303</v>
      </c>
      <c r="G159">
        <v>3.9849448594101097E-2</v>
      </c>
      <c r="H159" t="s">
        <v>42</v>
      </c>
      <c r="I159" t="s">
        <v>337</v>
      </c>
      <c r="J159" t="s">
        <v>1650</v>
      </c>
    </row>
    <row r="160" spans="1:10" x14ac:dyDescent="0.2">
      <c r="A160">
        <v>-1759</v>
      </c>
      <c r="B160">
        <v>9.0558311293607305E-7</v>
      </c>
      <c r="C160">
        <v>2</v>
      </c>
      <c r="D160">
        <v>540</v>
      </c>
      <c r="E160" t="s">
        <v>823</v>
      </c>
      <c r="F160" t="s">
        <v>824</v>
      </c>
      <c r="G160">
        <v>1.5605137571130499E-4</v>
      </c>
      <c r="H160" t="s">
        <v>42</v>
      </c>
      <c r="I160" t="s">
        <v>337</v>
      </c>
      <c r="J160" t="s">
        <v>1650</v>
      </c>
    </row>
    <row r="161" spans="1:10" x14ac:dyDescent="0.2">
      <c r="A161">
        <v>-3006</v>
      </c>
      <c r="B161">
        <v>7.3293431500993998E-4</v>
      </c>
      <c r="C161">
        <v>4</v>
      </c>
      <c r="D161">
        <v>86</v>
      </c>
      <c r="E161" t="s">
        <v>1639</v>
      </c>
      <c r="F161" t="s">
        <v>1640</v>
      </c>
      <c r="G161">
        <v>3.0546945887099199E-2</v>
      </c>
      <c r="H161" t="s">
        <v>42</v>
      </c>
      <c r="I161" t="s">
        <v>337</v>
      </c>
      <c r="J161" t="s">
        <v>1650</v>
      </c>
    </row>
    <row r="162" spans="1:10" x14ac:dyDescent="0.2">
      <c r="A162">
        <v>-1857</v>
      </c>
      <c r="B162">
        <v>1.5012872926890901E-4</v>
      </c>
      <c r="C162">
        <v>2</v>
      </c>
      <c r="D162">
        <v>286</v>
      </c>
      <c r="E162" t="s">
        <v>296</v>
      </c>
      <c r="F162" t="s">
        <v>297</v>
      </c>
      <c r="G162">
        <v>9.2868092143908506E-3</v>
      </c>
      <c r="H162" t="s">
        <v>42</v>
      </c>
      <c r="I162" t="s">
        <v>337</v>
      </c>
      <c r="J162" t="s">
        <v>1655</v>
      </c>
    </row>
    <row r="163" spans="1:10" x14ac:dyDescent="0.2">
      <c r="A163">
        <v>-4226</v>
      </c>
      <c r="B163">
        <v>1.37791482663367E-3</v>
      </c>
      <c r="C163">
        <v>2</v>
      </c>
      <c r="D163">
        <v>39</v>
      </c>
      <c r="E163" t="s">
        <v>1641</v>
      </c>
      <c r="F163" t="s">
        <v>1642</v>
      </c>
      <c r="G163">
        <v>4.58513037138445E-2</v>
      </c>
      <c r="H163" t="s">
        <v>42</v>
      </c>
      <c r="I163" t="s">
        <v>337</v>
      </c>
      <c r="J163" t="s">
        <v>131</v>
      </c>
    </row>
    <row r="164" spans="1:10" x14ac:dyDescent="0.2">
      <c r="A164">
        <v>-919</v>
      </c>
      <c r="B164">
        <v>1.03264207605132E-4</v>
      </c>
      <c r="C164">
        <v>4</v>
      </c>
      <c r="D164">
        <v>1269</v>
      </c>
      <c r="E164" t="s">
        <v>1643</v>
      </c>
      <c r="F164" t="s">
        <v>1644</v>
      </c>
      <c r="G164">
        <v>7.3272029660994397E-3</v>
      </c>
      <c r="H164" t="s">
        <v>42</v>
      </c>
      <c r="I164" t="s">
        <v>337</v>
      </c>
      <c r="J164" t="s">
        <v>1650</v>
      </c>
    </row>
    <row r="165" spans="1:10" x14ac:dyDescent="0.2">
      <c r="A165">
        <v>-1338</v>
      </c>
      <c r="B165">
        <v>1.5986616640654901E-4</v>
      </c>
      <c r="C165">
        <v>3</v>
      </c>
      <c r="D165">
        <v>552</v>
      </c>
      <c r="E165" t="s">
        <v>302</v>
      </c>
      <c r="F165" t="s">
        <v>303</v>
      </c>
      <c r="G165">
        <v>9.7639778849569498E-3</v>
      </c>
      <c r="H165" t="s">
        <v>42</v>
      </c>
      <c r="I165" t="s">
        <v>337</v>
      </c>
      <c r="J165" t="s">
        <v>1655</v>
      </c>
    </row>
    <row r="166" spans="1:10" x14ac:dyDescent="0.2">
      <c r="A166">
        <v>-994</v>
      </c>
      <c r="B166">
        <v>1.33991097120815E-4</v>
      </c>
      <c r="C166">
        <v>2</v>
      </c>
      <c r="D166">
        <v>1041</v>
      </c>
      <c r="E166" t="s">
        <v>308</v>
      </c>
      <c r="F166" t="s">
        <v>309</v>
      </c>
      <c r="G166">
        <v>8.8562608713415401E-3</v>
      </c>
      <c r="H166" t="s">
        <v>42</v>
      </c>
      <c r="I166" t="s">
        <v>337</v>
      </c>
      <c r="J166" t="s">
        <v>1650</v>
      </c>
    </row>
    <row r="167" spans="1:10" x14ac:dyDescent="0.2">
      <c r="A167">
        <v>-1575</v>
      </c>
      <c r="B167">
        <v>2.1959158467087001E-5</v>
      </c>
      <c r="C167">
        <v>2</v>
      </c>
      <c r="D167">
        <v>502</v>
      </c>
      <c r="E167" t="s">
        <v>104</v>
      </c>
      <c r="F167" t="s">
        <v>105</v>
      </c>
      <c r="G167">
        <v>2.1623048898713202E-3</v>
      </c>
      <c r="H167" t="s">
        <v>42</v>
      </c>
      <c r="I167" t="s">
        <v>337</v>
      </c>
      <c r="J167" t="s">
        <v>1650</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DF34F-5D2C-A54B-B407-81B26A611261}">
  <sheetPr codeName="Sheet1"/>
  <dimension ref="A1:L28"/>
  <sheetViews>
    <sheetView zoomScale="125" workbookViewId="0">
      <selection activeCell="A10" sqref="A10"/>
    </sheetView>
  </sheetViews>
  <sheetFormatPr baseColWidth="10" defaultRowHeight="16" x14ac:dyDescent="0.2"/>
  <cols>
    <col min="5" max="5" width="10.83203125" customWidth="1"/>
  </cols>
  <sheetData>
    <row r="1" spans="1:12" x14ac:dyDescent="0.2">
      <c r="A1" t="s">
        <v>106</v>
      </c>
    </row>
    <row r="2" spans="1:12" x14ac:dyDescent="0.2">
      <c r="A2" t="s">
        <v>45</v>
      </c>
    </row>
    <row r="3" spans="1:12" x14ac:dyDescent="0.2">
      <c r="A3" t="s">
        <v>46</v>
      </c>
    </row>
    <row r="4" spans="1:12" x14ac:dyDescent="0.2">
      <c r="A4" t="s">
        <v>47</v>
      </c>
    </row>
    <row r="5" spans="1:12" x14ac:dyDescent="0.2">
      <c r="A5" t="s">
        <v>48</v>
      </c>
    </row>
    <row r="6" spans="1:12" x14ac:dyDescent="0.2">
      <c r="A6" t="s">
        <v>49</v>
      </c>
    </row>
    <row r="7" spans="1:12" x14ac:dyDescent="0.2">
      <c r="A7" t="s">
        <v>44</v>
      </c>
    </row>
    <row r="8" spans="1:12" x14ac:dyDescent="0.2">
      <c r="A8" t="s">
        <v>43</v>
      </c>
    </row>
    <row r="9" spans="1:12" x14ac:dyDescent="0.2">
      <c r="A9" t="s">
        <v>52</v>
      </c>
    </row>
    <row r="10" spans="1:12" ht="17" thickBot="1" x14ac:dyDescent="0.25">
      <c r="A10" t="s">
        <v>1661</v>
      </c>
    </row>
    <row r="11" spans="1:12" ht="17" thickBot="1" x14ac:dyDescent="0.25">
      <c r="A11" s="2" t="s">
        <v>0</v>
      </c>
      <c r="B11" s="2" t="s">
        <v>1</v>
      </c>
      <c r="C11" s="2" t="s">
        <v>2</v>
      </c>
      <c r="D11" s="2" t="s">
        <v>3</v>
      </c>
      <c r="E11" s="2" t="s">
        <v>4</v>
      </c>
      <c r="F11" s="2" t="s">
        <v>5</v>
      </c>
      <c r="G11" s="2" t="s">
        <v>6</v>
      </c>
      <c r="H11" s="2" t="s">
        <v>41</v>
      </c>
      <c r="I11" s="2" t="s">
        <v>50</v>
      </c>
      <c r="J11" s="11" t="s">
        <v>1647</v>
      </c>
    </row>
    <row r="12" spans="1:12" x14ac:dyDescent="0.2">
      <c r="A12">
        <v>0</v>
      </c>
      <c r="B12">
        <v>1.3469624215970799E-4</v>
      </c>
      <c r="C12">
        <v>2</v>
      </c>
      <c r="D12">
        <v>357</v>
      </c>
      <c r="E12" t="s">
        <v>7</v>
      </c>
      <c r="F12" t="s">
        <v>8</v>
      </c>
      <c r="G12">
        <v>3.8792517741995901E-2</v>
      </c>
      <c r="H12" t="s">
        <v>42</v>
      </c>
      <c r="I12" t="s">
        <v>51</v>
      </c>
      <c r="J12" t="s">
        <v>1650</v>
      </c>
    </row>
    <row r="13" spans="1:12" x14ac:dyDescent="0.2">
      <c r="A13">
        <v>0</v>
      </c>
      <c r="B13" s="1">
        <v>3.8861982743102602E-8</v>
      </c>
      <c r="C13">
        <v>2</v>
      </c>
      <c r="D13">
        <v>138</v>
      </c>
      <c r="E13" t="s">
        <v>9</v>
      </c>
      <c r="F13" t="s">
        <v>10</v>
      </c>
      <c r="G13">
        <v>1.12803888601971E-4</v>
      </c>
      <c r="H13" t="s">
        <v>42</v>
      </c>
      <c r="I13" t="s">
        <v>51</v>
      </c>
      <c r="J13" t="s">
        <v>10</v>
      </c>
      <c r="L13" s="12"/>
    </row>
    <row r="14" spans="1:12" x14ac:dyDescent="0.2">
      <c r="A14">
        <v>0</v>
      </c>
      <c r="B14" s="1">
        <v>6.52719887257034E-7</v>
      </c>
      <c r="C14">
        <v>2</v>
      </c>
      <c r="D14">
        <v>2777</v>
      </c>
      <c r="E14" t="s">
        <v>11</v>
      </c>
      <c r="F14" t="s">
        <v>12</v>
      </c>
      <c r="G14">
        <v>4.5653093828720501E-4</v>
      </c>
      <c r="H14" t="s">
        <v>42</v>
      </c>
      <c r="I14" t="s">
        <v>51</v>
      </c>
      <c r="J14" t="s">
        <v>1656</v>
      </c>
    </row>
    <row r="15" spans="1:12" x14ac:dyDescent="0.2">
      <c r="A15">
        <v>0</v>
      </c>
      <c r="B15" s="1">
        <v>3.5713819104223299E-7</v>
      </c>
      <c r="C15">
        <v>3</v>
      </c>
      <c r="D15">
        <v>893</v>
      </c>
      <c r="E15" t="s">
        <v>13</v>
      </c>
      <c r="F15" t="s">
        <v>14</v>
      </c>
      <c r="G15">
        <v>3.4970971666855498E-4</v>
      </c>
      <c r="H15" t="s">
        <v>42</v>
      </c>
      <c r="I15" t="s">
        <v>51</v>
      </c>
      <c r="J15" t="s">
        <v>14</v>
      </c>
    </row>
    <row r="16" spans="1:12" x14ac:dyDescent="0.2">
      <c r="A16">
        <v>0</v>
      </c>
      <c r="B16" s="1">
        <v>7.7135743645008595E-5</v>
      </c>
      <c r="C16">
        <v>2</v>
      </c>
      <c r="D16">
        <v>1651</v>
      </c>
      <c r="E16" t="s">
        <v>15</v>
      </c>
      <c r="F16" t="s">
        <v>16</v>
      </c>
      <c r="G16">
        <v>3.1153690953848401E-2</v>
      </c>
      <c r="H16" t="s">
        <v>42</v>
      </c>
      <c r="I16" t="s">
        <v>51</v>
      </c>
      <c r="J16" t="s">
        <v>1650</v>
      </c>
    </row>
    <row r="17" spans="1:10" x14ac:dyDescent="0.2">
      <c r="A17">
        <v>0</v>
      </c>
      <c r="B17" s="1">
        <v>2.9196951688112801E-7</v>
      </c>
      <c r="C17">
        <v>2</v>
      </c>
      <c r="D17">
        <v>194</v>
      </c>
      <c r="E17" t="s">
        <v>17</v>
      </c>
      <c r="F17" t="s">
        <v>18</v>
      </c>
      <c r="G17">
        <v>3.4970971666855498E-4</v>
      </c>
      <c r="H17" t="s">
        <v>42</v>
      </c>
      <c r="I17" t="s">
        <v>51</v>
      </c>
      <c r="J17" t="s">
        <v>1650</v>
      </c>
    </row>
    <row r="18" spans="1:10" x14ac:dyDescent="0.2">
      <c r="A18">
        <v>0</v>
      </c>
      <c r="B18" s="1">
        <v>1.9664635825639701E-5</v>
      </c>
      <c r="C18">
        <v>4</v>
      </c>
      <c r="D18">
        <v>3616</v>
      </c>
      <c r="E18" t="s">
        <v>19</v>
      </c>
      <c r="F18" t="s">
        <v>20</v>
      </c>
      <c r="G18">
        <v>9.6278057002331992E-3</v>
      </c>
      <c r="H18" t="s">
        <v>42</v>
      </c>
      <c r="I18" t="s">
        <v>51</v>
      </c>
      <c r="J18" t="s">
        <v>1650</v>
      </c>
    </row>
    <row r="19" spans="1:10" x14ac:dyDescent="0.2">
      <c r="A19">
        <v>0</v>
      </c>
      <c r="B19" s="1">
        <v>3.4949254036704398E-6</v>
      </c>
      <c r="C19">
        <v>5</v>
      </c>
      <c r="D19">
        <v>2409</v>
      </c>
      <c r="E19" t="s">
        <v>21</v>
      </c>
      <c r="F19" t="s">
        <v>22</v>
      </c>
      <c r="G19">
        <v>2.1388943470463098E-3</v>
      </c>
      <c r="H19" t="s">
        <v>42</v>
      </c>
      <c r="I19" t="s">
        <v>51</v>
      </c>
      <c r="J19" t="s">
        <v>1650</v>
      </c>
    </row>
    <row r="20" spans="1:10" x14ac:dyDescent="0.2">
      <c r="A20">
        <v>0</v>
      </c>
      <c r="B20" s="1">
        <v>8.3372461429510894E-5</v>
      </c>
      <c r="C20">
        <v>2</v>
      </c>
      <c r="D20">
        <v>10</v>
      </c>
      <c r="E20" t="s">
        <v>23</v>
      </c>
      <c r="F20" t="s">
        <v>24</v>
      </c>
      <c r="G20">
        <v>3.1153690953848401E-2</v>
      </c>
      <c r="H20" t="s">
        <v>42</v>
      </c>
      <c r="I20" t="s">
        <v>51</v>
      </c>
      <c r="J20" t="s">
        <v>1650</v>
      </c>
    </row>
    <row r="21" spans="1:10" x14ac:dyDescent="0.2">
      <c r="A21">
        <v>0</v>
      </c>
      <c r="B21">
        <v>1.0180944756159599E-4</v>
      </c>
      <c r="C21">
        <v>5</v>
      </c>
      <c r="D21">
        <v>11</v>
      </c>
      <c r="E21" t="s">
        <v>25</v>
      </c>
      <c r="F21" t="s">
        <v>26</v>
      </c>
      <c r="G21">
        <v>3.1153690953848401E-2</v>
      </c>
      <c r="H21" t="s">
        <v>42</v>
      </c>
      <c r="I21" t="s">
        <v>51</v>
      </c>
      <c r="J21" t="s">
        <v>1657</v>
      </c>
    </row>
    <row r="22" spans="1:10" x14ac:dyDescent="0.2">
      <c r="A22">
        <v>0</v>
      </c>
      <c r="B22">
        <v>1.0180944756159599E-4</v>
      </c>
      <c r="C22">
        <v>2</v>
      </c>
      <c r="D22">
        <v>11</v>
      </c>
      <c r="E22" t="s">
        <v>27</v>
      </c>
      <c r="F22" t="s">
        <v>28</v>
      </c>
      <c r="G22">
        <v>3.1153690953848401E-2</v>
      </c>
      <c r="H22" t="s">
        <v>42</v>
      </c>
      <c r="I22" t="s">
        <v>51</v>
      </c>
      <c r="J22" t="s">
        <v>1650</v>
      </c>
    </row>
    <row r="23" spans="1:10" x14ac:dyDescent="0.2">
      <c r="A23">
        <v>0</v>
      </c>
      <c r="B23" s="1">
        <v>3.2967843635124102E-7</v>
      </c>
      <c r="C23">
        <v>3</v>
      </c>
      <c r="D23">
        <v>1124</v>
      </c>
      <c r="E23" t="s">
        <v>29</v>
      </c>
      <c r="F23" t="s">
        <v>30</v>
      </c>
      <c r="G23">
        <v>3.4970971666855498E-4</v>
      </c>
      <c r="H23" t="s">
        <v>42</v>
      </c>
      <c r="I23" t="s">
        <v>51</v>
      </c>
      <c r="J23" t="s">
        <v>1650</v>
      </c>
    </row>
    <row r="24" spans="1:10" x14ac:dyDescent="0.2">
      <c r="A24">
        <v>0</v>
      </c>
      <c r="B24" s="1">
        <v>7.0788410546418205E-5</v>
      </c>
      <c r="C24">
        <v>2</v>
      </c>
      <c r="D24">
        <v>159</v>
      </c>
      <c r="E24" t="s">
        <v>31</v>
      </c>
      <c r="F24" t="s">
        <v>32</v>
      </c>
      <c r="G24">
        <v>3.1153690953848401E-2</v>
      </c>
      <c r="H24" t="s">
        <v>42</v>
      </c>
      <c r="I24" t="s">
        <v>51</v>
      </c>
      <c r="J24" t="s">
        <v>1650</v>
      </c>
    </row>
    <row r="25" spans="1:10" x14ac:dyDescent="0.2">
      <c r="A25">
        <v>0</v>
      </c>
      <c r="B25" s="1">
        <v>4.60800198537464E-8</v>
      </c>
      <c r="C25">
        <v>4</v>
      </c>
      <c r="D25">
        <v>142</v>
      </c>
      <c r="E25" t="s">
        <v>33</v>
      </c>
      <c r="F25" t="s">
        <v>34</v>
      </c>
      <c r="G25">
        <v>1.12803888601971E-4</v>
      </c>
      <c r="H25" t="s">
        <v>42</v>
      </c>
      <c r="I25" t="s">
        <v>51</v>
      </c>
      <c r="J25" t="s">
        <v>14</v>
      </c>
    </row>
    <row r="26" spans="1:10" x14ac:dyDescent="0.2">
      <c r="A26">
        <v>0</v>
      </c>
      <c r="B26" s="1">
        <v>1.86094799254373E-5</v>
      </c>
      <c r="C26">
        <v>2</v>
      </c>
      <c r="D26">
        <v>5</v>
      </c>
      <c r="E26" t="s">
        <v>35</v>
      </c>
      <c r="F26" t="s">
        <v>36</v>
      </c>
      <c r="G26">
        <v>9.6278057002331992E-3</v>
      </c>
      <c r="H26" t="s">
        <v>42</v>
      </c>
      <c r="I26" t="s">
        <v>51</v>
      </c>
      <c r="J26" t="s">
        <v>1657</v>
      </c>
    </row>
    <row r="27" spans="1:10" x14ac:dyDescent="0.2">
      <c r="A27">
        <v>0</v>
      </c>
      <c r="B27" s="1">
        <v>4.4050685270832901E-7</v>
      </c>
      <c r="C27">
        <v>2</v>
      </c>
      <c r="D27">
        <v>695</v>
      </c>
      <c r="E27" t="s">
        <v>37</v>
      </c>
      <c r="F27" t="s">
        <v>38</v>
      </c>
      <c r="G27">
        <v>3.59453591809996E-4</v>
      </c>
      <c r="H27" t="s">
        <v>42</v>
      </c>
      <c r="I27" t="s">
        <v>51</v>
      </c>
      <c r="J27" t="s">
        <v>1650</v>
      </c>
    </row>
    <row r="28" spans="1:10" x14ac:dyDescent="0.2">
      <c r="A28">
        <v>0</v>
      </c>
      <c r="B28" s="1">
        <v>9.3800534153419605E-5</v>
      </c>
      <c r="C28">
        <v>7</v>
      </c>
      <c r="D28">
        <v>171</v>
      </c>
      <c r="E28" t="s">
        <v>39</v>
      </c>
      <c r="F28" t="s">
        <v>40</v>
      </c>
      <c r="G28">
        <v>3.1153690953848401E-2</v>
      </c>
      <c r="H28" t="s">
        <v>42</v>
      </c>
      <c r="I28" t="s">
        <v>51</v>
      </c>
      <c r="J28" t="s">
        <v>1650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FF211-0662-1A4C-8E84-60EC2551682F}">
  <sheetPr codeName="Sheet2"/>
  <dimension ref="A1:I41"/>
  <sheetViews>
    <sheetView workbookViewId="0">
      <selection activeCell="L21" sqref="L21"/>
    </sheetView>
  </sheetViews>
  <sheetFormatPr baseColWidth="10" defaultRowHeight="16" x14ac:dyDescent="0.2"/>
  <cols>
    <col min="5" max="5" width="10.83203125" customWidth="1"/>
  </cols>
  <sheetData>
    <row r="1" spans="1:9" x14ac:dyDescent="0.2">
      <c r="A1" t="s">
        <v>53</v>
      </c>
    </row>
    <row r="2" spans="1:9" x14ac:dyDescent="0.2">
      <c r="A2" t="s">
        <v>45</v>
      </c>
    </row>
    <row r="3" spans="1:9" x14ac:dyDescent="0.2">
      <c r="A3" t="s">
        <v>46</v>
      </c>
    </row>
    <row r="4" spans="1:9" x14ac:dyDescent="0.2">
      <c r="A4" t="s">
        <v>47</v>
      </c>
    </row>
    <row r="5" spans="1:9" x14ac:dyDescent="0.2">
      <c r="A5" t="s">
        <v>48</v>
      </c>
    </row>
    <row r="6" spans="1:9" x14ac:dyDescent="0.2">
      <c r="A6" t="s">
        <v>49</v>
      </c>
    </row>
    <row r="7" spans="1:9" x14ac:dyDescent="0.2">
      <c r="A7" t="s">
        <v>44</v>
      </c>
    </row>
    <row r="8" spans="1:9" x14ac:dyDescent="0.2">
      <c r="A8" t="s">
        <v>43</v>
      </c>
    </row>
    <row r="9" spans="1:9" ht="17" thickBot="1" x14ac:dyDescent="0.25">
      <c r="A9" t="s">
        <v>52</v>
      </c>
    </row>
    <row r="10" spans="1:9" ht="17" thickBot="1" x14ac:dyDescent="0.25">
      <c r="A10" s="2" t="s">
        <v>0</v>
      </c>
      <c r="B10" s="2" t="s">
        <v>1</v>
      </c>
      <c r="C10" s="2" t="s">
        <v>2</v>
      </c>
      <c r="D10" s="2" t="s">
        <v>3</v>
      </c>
      <c r="E10" s="2" t="s">
        <v>4</v>
      </c>
      <c r="F10" s="2" t="s">
        <v>5</v>
      </c>
      <c r="G10" s="2" t="s">
        <v>6</v>
      </c>
      <c r="H10" s="2" t="s">
        <v>41</v>
      </c>
      <c r="I10" s="2" t="s">
        <v>50</v>
      </c>
    </row>
    <row r="11" spans="1:9" x14ac:dyDescent="0.2">
      <c r="A11">
        <v>0</v>
      </c>
      <c r="B11">
        <v>1.4729959018316299E-4</v>
      </c>
      <c r="C11">
        <v>4</v>
      </c>
      <c r="D11">
        <v>43</v>
      </c>
      <c r="E11" t="s">
        <v>54</v>
      </c>
      <c r="F11" t="s">
        <v>55</v>
      </c>
      <c r="G11">
        <v>3.7956778607198198E-2</v>
      </c>
      <c r="H11" t="s">
        <v>42</v>
      </c>
      <c r="I11" t="s">
        <v>51</v>
      </c>
    </row>
    <row r="12" spans="1:9" x14ac:dyDescent="0.2">
      <c r="A12">
        <v>0</v>
      </c>
      <c r="B12" s="1">
        <v>4.16741992751913E-5</v>
      </c>
      <c r="C12">
        <v>1</v>
      </c>
      <c r="D12">
        <v>1257</v>
      </c>
      <c r="E12" t="s">
        <v>56</v>
      </c>
      <c r="F12" t="s">
        <v>57</v>
      </c>
      <c r="G12">
        <v>1.7117521535912499E-2</v>
      </c>
      <c r="H12" t="s">
        <v>42</v>
      </c>
      <c r="I12" t="s">
        <v>51</v>
      </c>
    </row>
    <row r="13" spans="1:9" x14ac:dyDescent="0.2">
      <c r="A13">
        <v>0</v>
      </c>
      <c r="B13" s="1">
        <v>2.7486444192185999E-4</v>
      </c>
      <c r="C13">
        <v>2</v>
      </c>
      <c r="D13">
        <v>53</v>
      </c>
      <c r="E13" t="s">
        <v>58</v>
      </c>
      <c r="F13" t="s">
        <v>59</v>
      </c>
      <c r="G13">
        <v>4.6893887911054498E-2</v>
      </c>
      <c r="H13" t="s">
        <v>42</v>
      </c>
      <c r="I13" t="s">
        <v>51</v>
      </c>
    </row>
    <row r="14" spans="1:9" x14ac:dyDescent="0.2">
      <c r="A14">
        <v>0</v>
      </c>
      <c r="B14" s="1">
        <v>1.3455490064092701E-5</v>
      </c>
      <c r="C14">
        <v>2</v>
      </c>
      <c r="D14">
        <v>217</v>
      </c>
      <c r="E14" t="s">
        <v>60</v>
      </c>
      <c r="F14" t="s">
        <v>61</v>
      </c>
      <c r="G14">
        <v>8.2347599192247305E-3</v>
      </c>
      <c r="H14" t="s">
        <v>42</v>
      </c>
      <c r="I14" t="s">
        <v>51</v>
      </c>
    </row>
    <row r="15" spans="1:9" x14ac:dyDescent="0.2">
      <c r="A15">
        <v>0</v>
      </c>
      <c r="B15" s="1">
        <v>1.84130250559555E-4</v>
      </c>
      <c r="C15">
        <v>7</v>
      </c>
      <c r="D15">
        <v>1701</v>
      </c>
      <c r="E15" t="s">
        <v>62</v>
      </c>
      <c r="F15" t="s">
        <v>63</v>
      </c>
      <c r="G15">
        <v>4.5075085336979098E-2</v>
      </c>
      <c r="H15" t="s">
        <v>42</v>
      </c>
      <c r="I15" t="s">
        <v>51</v>
      </c>
    </row>
    <row r="16" spans="1:9" x14ac:dyDescent="0.2">
      <c r="A16">
        <v>0</v>
      </c>
      <c r="B16" s="1">
        <v>1.10118568906317E-6</v>
      </c>
      <c r="C16">
        <v>5</v>
      </c>
      <c r="D16">
        <v>3445</v>
      </c>
      <c r="E16" t="s">
        <v>64</v>
      </c>
      <c r="F16" t="s">
        <v>65</v>
      </c>
      <c r="G16">
        <v>1.0782810267306599E-3</v>
      </c>
      <c r="H16" t="s">
        <v>42</v>
      </c>
      <c r="I16" t="s">
        <v>51</v>
      </c>
    </row>
    <row r="17" spans="1:9" x14ac:dyDescent="0.2">
      <c r="A17">
        <v>0</v>
      </c>
      <c r="B17" s="1">
        <v>1.6684019000570399E-6</v>
      </c>
      <c r="C17">
        <v>2</v>
      </c>
      <c r="D17">
        <v>1083</v>
      </c>
      <c r="E17" t="s">
        <v>66</v>
      </c>
      <c r="F17" t="s">
        <v>67</v>
      </c>
      <c r="G17">
        <v>1.36141595044654E-3</v>
      </c>
      <c r="H17" t="s">
        <v>42</v>
      </c>
      <c r="I17" t="s">
        <v>51</v>
      </c>
    </row>
    <row r="18" spans="1:9" x14ac:dyDescent="0.2">
      <c r="A18">
        <v>0</v>
      </c>
      <c r="B18" s="1">
        <v>2.77761999473158E-4</v>
      </c>
      <c r="C18">
        <v>3</v>
      </c>
      <c r="D18">
        <v>376</v>
      </c>
      <c r="E18" t="s">
        <v>68</v>
      </c>
      <c r="F18" t="s">
        <v>69</v>
      </c>
      <c r="G18">
        <v>4.6893887911054498E-2</v>
      </c>
      <c r="H18" t="s">
        <v>42</v>
      </c>
      <c r="I18" t="s">
        <v>51</v>
      </c>
    </row>
    <row r="19" spans="1:9" x14ac:dyDescent="0.2">
      <c r="A19">
        <v>0</v>
      </c>
      <c r="B19" s="1">
        <v>3.9528057236838999E-5</v>
      </c>
      <c r="C19">
        <v>3</v>
      </c>
      <c r="D19">
        <v>159</v>
      </c>
      <c r="E19" t="s">
        <v>70</v>
      </c>
      <c r="F19" t="s">
        <v>71</v>
      </c>
      <c r="G19">
        <v>1.7117521535912499E-2</v>
      </c>
      <c r="H19" t="s">
        <v>42</v>
      </c>
      <c r="I19" t="s">
        <v>51</v>
      </c>
    </row>
    <row r="20" spans="1:9" x14ac:dyDescent="0.2">
      <c r="A20">
        <v>0</v>
      </c>
      <c r="B20">
        <v>6.4458423929049097E-6</v>
      </c>
      <c r="C20">
        <v>2</v>
      </c>
      <c r="D20">
        <v>2777</v>
      </c>
      <c r="E20" t="s">
        <v>11</v>
      </c>
      <c r="F20" t="s">
        <v>12</v>
      </c>
      <c r="G20">
        <v>4.5084063365232099E-3</v>
      </c>
      <c r="H20" t="s">
        <v>42</v>
      </c>
      <c r="I20" t="s">
        <v>51</v>
      </c>
    </row>
    <row r="21" spans="1:9" x14ac:dyDescent="0.2">
      <c r="A21">
        <v>0</v>
      </c>
      <c r="B21">
        <v>1.37419215925224E-4</v>
      </c>
      <c r="C21">
        <v>2</v>
      </c>
      <c r="D21">
        <v>1651</v>
      </c>
      <c r="E21" t="s">
        <v>15</v>
      </c>
      <c r="F21" t="s">
        <v>16</v>
      </c>
      <c r="G21">
        <v>3.7956778607198198E-2</v>
      </c>
      <c r="H21" t="s">
        <v>42</v>
      </c>
      <c r="I21" t="s">
        <v>51</v>
      </c>
    </row>
    <row r="22" spans="1:9" x14ac:dyDescent="0.2">
      <c r="A22">
        <v>0</v>
      </c>
      <c r="B22" s="1">
        <v>1.08398272222677E-8</v>
      </c>
      <c r="C22">
        <v>5</v>
      </c>
      <c r="D22">
        <v>3616</v>
      </c>
      <c r="E22" t="s">
        <v>19</v>
      </c>
      <c r="F22" t="s">
        <v>20</v>
      </c>
      <c r="G22">
        <v>2.87927094814079E-5</v>
      </c>
      <c r="H22" t="s">
        <v>42</v>
      </c>
      <c r="I22" t="s">
        <v>51</v>
      </c>
    </row>
    <row r="23" spans="1:9" x14ac:dyDescent="0.2">
      <c r="A23">
        <v>0</v>
      </c>
      <c r="B23" s="1">
        <v>1.5281277904177699E-5</v>
      </c>
      <c r="C23">
        <v>2</v>
      </c>
      <c r="D23">
        <v>948</v>
      </c>
      <c r="E23" t="s">
        <v>72</v>
      </c>
      <c r="F23" t="s">
        <v>73</v>
      </c>
      <c r="G23">
        <v>8.3130151798726706E-3</v>
      </c>
      <c r="H23" t="s">
        <v>42</v>
      </c>
      <c r="I23" t="s">
        <v>51</v>
      </c>
    </row>
    <row r="24" spans="1:9" x14ac:dyDescent="0.2">
      <c r="A24">
        <v>0</v>
      </c>
      <c r="B24" s="1">
        <v>1.1761727729333301E-8</v>
      </c>
      <c r="C24">
        <v>2</v>
      </c>
      <c r="D24">
        <v>1864</v>
      </c>
      <c r="E24" t="s">
        <v>74</v>
      </c>
      <c r="F24" t="s">
        <v>75</v>
      </c>
      <c r="G24">
        <v>2.87927094814079E-5</v>
      </c>
      <c r="H24" t="s">
        <v>42</v>
      </c>
      <c r="I24" t="s">
        <v>51</v>
      </c>
    </row>
    <row r="25" spans="1:9" x14ac:dyDescent="0.2">
      <c r="A25">
        <v>0</v>
      </c>
      <c r="B25" s="1">
        <v>2.41892292629635E-4</v>
      </c>
      <c r="C25">
        <v>6</v>
      </c>
      <c r="D25">
        <v>692</v>
      </c>
      <c r="E25" t="s">
        <v>76</v>
      </c>
      <c r="F25" t="s">
        <v>77</v>
      </c>
      <c r="G25">
        <v>4.6893887911054498E-2</v>
      </c>
      <c r="H25" t="s">
        <v>42</v>
      </c>
      <c r="I25" t="s">
        <v>51</v>
      </c>
    </row>
    <row r="26" spans="1:9" x14ac:dyDescent="0.2">
      <c r="A26">
        <v>0</v>
      </c>
      <c r="B26" s="1">
        <v>4.1954709646844399E-5</v>
      </c>
      <c r="C26">
        <v>2</v>
      </c>
      <c r="D26">
        <v>161</v>
      </c>
      <c r="E26" t="s">
        <v>78</v>
      </c>
      <c r="F26" t="s">
        <v>79</v>
      </c>
      <c r="G26">
        <v>1.7117521535912499E-2</v>
      </c>
      <c r="H26" t="s">
        <v>42</v>
      </c>
      <c r="I26" t="s">
        <v>51</v>
      </c>
    </row>
    <row r="27" spans="1:9" x14ac:dyDescent="0.2">
      <c r="A27">
        <v>0</v>
      </c>
      <c r="B27" s="1">
        <v>2.2645263164301199E-4</v>
      </c>
      <c r="C27">
        <v>2</v>
      </c>
      <c r="D27">
        <v>2484</v>
      </c>
      <c r="E27" t="s">
        <v>80</v>
      </c>
      <c r="F27" t="s">
        <v>81</v>
      </c>
      <c r="G27">
        <v>4.6893887911054498E-2</v>
      </c>
      <c r="H27" t="s">
        <v>42</v>
      </c>
      <c r="I27" t="s">
        <v>51</v>
      </c>
    </row>
    <row r="28" spans="1:9" x14ac:dyDescent="0.2">
      <c r="A28">
        <v>0</v>
      </c>
      <c r="B28">
        <v>2.3115588703930101E-4</v>
      </c>
      <c r="C28">
        <v>2</v>
      </c>
      <c r="D28">
        <v>50</v>
      </c>
      <c r="E28" t="s">
        <v>82</v>
      </c>
      <c r="F28" t="s">
        <v>83</v>
      </c>
      <c r="G28">
        <v>4.6893887911054498E-2</v>
      </c>
      <c r="H28" t="s">
        <v>42</v>
      </c>
      <c r="I28" t="s">
        <v>51</v>
      </c>
    </row>
    <row r="29" spans="1:9" x14ac:dyDescent="0.2">
      <c r="A29">
        <v>0</v>
      </c>
      <c r="B29">
        <v>2.1365258163932499E-4</v>
      </c>
      <c r="C29">
        <v>2</v>
      </c>
      <c r="D29">
        <v>358</v>
      </c>
      <c r="E29" t="s">
        <v>84</v>
      </c>
      <c r="F29" t="s">
        <v>85</v>
      </c>
      <c r="G29">
        <v>4.6893887911054498E-2</v>
      </c>
      <c r="H29" t="s">
        <v>42</v>
      </c>
      <c r="I29" t="s">
        <v>51</v>
      </c>
    </row>
    <row r="30" spans="1:9" x14ac:dyDescent="0.2">
      <c r="A30">
        <v>0</v>
      </c>
      <c r="B30">
        <v>1.04160858676459E-4</v>
      </c>
      <c r="C30">
        <v>4</v>
      </c>
      <c r="D30">
        <v>102</v>
      </c>
      <c r="E30" t="s">
        <v>86</v>
      </c>
      <c r="F30" t="s">
        <v>87</v>
      </c>
      <c r="G30">
        <v>3.6426540291424503E-2</v>
      </c>
      <c r="H30" t="s">
        <v>42</v>
      </c>
      <c r="I30" t="s">
        <v>51</v>
      </c>
    </row>
    <row r="31" spans="1:9" x14ac:dyDescent="0.2">
      <c r="A31">
        <v>0</v>
      </c>
      <c r="B31">
        <v>7.1429143324991601E-5</v>
      </c>
      <c r="C31">
        <v>2</v>
      </c>
      <c r="D31">
        <v>1124</v>
      </c>
      <c r="E31" t="s">
        <v>29</v>
      </c>
      <c r="F31" t="s">
        <v>30</v>
      </c>
      <c r="G31">
        <v>2.6901314286089099E-2</v>
      </c>
      <c r="H31" t="s">
        <v>42</v>
      </c>
      <c r="I31" t="s">
        <v>51</v>
      </c>
    </row>
    <row r="32" spans="1:9" x14ac:dyDescent="0.2">
      <c r="A32">
        <v>0</v>
      </c>
      <c r="B32">
        <v>4.6052236297894201E-7</v>
      </c>
      <c r="C32">
        <v>2</v>
      </c>
      <c r="D32">
        <v>805</v>
      </c>
      <c r="E32" t="s">
        <v>88</v>
      </c>
      <c r="F32" t="s">
        <v>89</v>
      </c>
      <c r="G32">
        <v>7.51572496381633E-4</v>
      </c>
      <c r="H32" t="s">
        <v>42</v>
      </c>
      <c r="I32" t="s">
        <v>51</v>
      </c>
    </row>
    <row r="33" spans="1:9" x14ac:dyDescent="0.2">
      <c r="A33">
        <v>0</v>
      </c>
      <c r="B33">
        <v>2.59749933037095E-4</v>
      </c>
      <c r="C33">
        <v>6</v>
      </c>
      <c r="D33">
        <v>52</v>
      </c>
      <c r="E33" t="s">
        <v>90</v>
      </c>
      <c r="F33" t="s">
        <v>91</v>
      </c>
      <c r="G33">
        <v>4.6893887911054498E-2</v>
      </c>
      <c r="H33" t="s">
        <v>42</v>
      </c>
      <c r="I33" t="s">
        <v>51</v>
      </c>
    </row>
    <row r="34" spans="1:9" x14ac:dyDescent="0.2">
      <c r="A34">
        <v>0</v>
      </c>
      <c r="B34">
        <v>1.2914794558932399E-4</v>
      </c>
      <c r="C34">
        <v>2</v>
      </c>
      <c r="D34">
        <v>999</v>
      </c>
      <c r="E34" t="s">
        <v>92</v>
      </c>
      <c r="F34" t="s">
        <v>93</v>
      </c>
      <c r="G34">
        <v>3.7956778607198198E-2</v>
      </c>
      <c r="H34" t="s">
        <v>42</v>
      </c>
      <c r="I34" t="s">
        <v>51</v>
      </c>
    </row>
    <row r="35" spans="1:9" x14ac:dyDescent="0.2">
      <c r="A35">
        <v>0</v>
      </c>
      <c r="B35">
        <v>1.3160583175951299E-4</v>
      </c>
      <c r="C35">
        <v>2</v>
      </c>
      <c r="D35">
        <v>3714</v>
      </c>
      <c r="E35" t="s">
        <v>94</v>
      </c>
      <c r="F35" t="s">
        <v>95</v>
      </c>
      <c r="G35">
        <v>3.7956778607198198E-2</v>
      </c>
      <c r="H35" t="s">
        <v>42</v>
      </c>
      <c r="I35" t="s">
        <v>51</v>
      </c>
    </row>
    <row r="36" spans="1:9" x14ac:dyDescent="0.2">
      <c r="A36">
        <v>0</v>
      </c>
      <c r="B36">
        <v>2.2100484575274501E-4</v>
      </c>
      <c r="C36">
        <v>5</v>
      </c>
      <c r="D36">
        <v>124</v>
      </c>
      <c r="E36" t="s">
        <v>96</v>
      </c>
      <c r="F36" t="s">
        <v>97</v>
      </c>
      <c r="G36">
        <v>4.6893887911054498E-2</v>
      </c>
      <c r="H36" t="s">
        <v>42</v>
      </c>
      <c r="I36" t="s">
        <v>51</v>
      </c>
    </row>
    <row r="37" spans="1:9" x14ac:dyDescent="0.2">
      <c r="A37">
        <v>0</v>
      </c>
      <c r="B37">
        <v>2.5146636971282702E-4</v>
      </c>
      <c r="C37">
        <v>2</v>
      </c>
      <c r="D37">
        <v>2772</v>
      </c>
      <c r="E37" t="s">
        <v>98</v>
      </c>
      <c r="F37" t="s">
        <v>99</v>
      </c>
      <c r="G37">
        <v>4.6893887911054498E-2</v>
      </c>
      <c r="H37" t="s">
        <v>42</v>
      </c>
      <c r="I37" t="s">
        <v>51</v>
      </c>
    </row>
    <row r="38" spans="1:9" x14ac:dyDescent="0.2">
      <c r="A38">
        <v>0</v>
      </c>
      <c r="B38">
        <v>2.8875719654639499E-4</v>
      </c>
      <c r="C38">
        <v>2</v>
      </c>
      <c r="D38">
        <v>133</v>
      </c>
      <c r="E38" t="s">
        <v>100</v>
      </c>
      <c r="F38" t="s">
        <v>101</v>
      </c>
      <c r="G38">
        <v>4.7125174476371698E-2</v>
      </c>
      <c r="H38" t="s">
        <v>42</v>
      </c>
      <c r="I38" t="s">
        <v>51</v>
      </c>
    </row>
    <row r="39" spans="1:9" x14ac:dyDescent="0.2">
      <c r="A39">
        <v>0</v>
      </c>
      <c r="B39">
        <v>8.01844513116128E-7</v>
      </c>
      <c r="C39">
        <v>3</v>
      </c>
      <c r="D39">
        <v>695</v>
      </c>
      <c r="E39" t="s">
        <v>37</v>
      </c>
      <c r="F39" t="s">
        <v>38</v>
      </c>
      <c r="G39">
        <v>9.8145768405414105E-4</v>
      </c>
      <c r="H39" t="s">
        <v>42</v>
      </c>
      <c r="I39" t="s">
        <v>51</v>
      </c>
    </row>
    <row r="40" spans="1:9" x14ac:dyDescent="0.2">
      <c r="A40">
        <v>0</v>
      </c>
      <c r="B40">
        <v>1.4729959018316299E-4</v>
      </c>
      <c r="C40">
        <v>2</v>
      </c>
      <c r="D40">
        <v>43</v>
      </c>
      <c r="E40" t="s">
        <v>102</v>
      </c>
      <c r="F40" t="s">
        <v>103</v>
      </c>
      <c r="G40">
        <v>3.7956778607198198E-2</v>
      </c>
      <c r="H40" t="s">
        <v>42</v>
      </c>
      <c r="I40" t="s">
        <v>51</v>
      </c>
    </row>
    <row r="41" spans="1:9" x14ac:dyDescent="0.2">
      <c r="A41">
        <v>0</v>
      </c>
      <c r="B41">
        <v>2.99704817532966E-4</v>
      </c>
      <c r="C41">
        <v>2</v>
      </c>
      <c r="D41">
        <v>539</v>
      </c>
      <c r="E41" t="s">
        <v>104</v>
      </c>
      <c r="F41" t="s">
        <v>105</v>
      </c>
      <c r="G41">
        <v>4.7334025375529103E-2</v>
      </c>
      <c r="H41" t="s">
        <v>42</v>
      </c>
      <c r="I41" t="s">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FDB2E-4AA0-BF40-807D-2E21B7779352}">
  <sheetPr codeName="Sheet3"/>
  <dimension ref="A1:N138"/>
  <sheetViews>
    <sheetView topLeftCell="A113" zoomScale="125" workbookViewId="0">
      <selection activeCell="F133" sqref="F133"/>
    </sheetView>
  </sheetViews>
  <sheetFormatPr baseColWidth="10" defaultRowHeight="16" x14ac:dyDescent="0.2"/>
  <cols>
    <col min="5" max="5" width="10.83203125" customWidth="1"/>
  </cols>
  <sheetData>
    <row r="1" spans="1:14" x14ac:dyDescent="0.2">
      <c r="A1" t="s">
        <v>107</v>
      </c>
    </row>
    <row r="2" spans="1:14" x14ac:dyDescent="0.2">
      <c r="A2" t="s">
        <v>45</v>
      </c>
    </row>
    <row r="3" spans="1:14" x14ac:dyDescent="0.2">
      <c r="A3" t="s">
        <v>46</v>
      </c>
    </row>
    <row r="4" spans="1:14" x14ac:dyDescent="0.2">
      <c r="A4" t="s">
        <v>47</v>
      </c>
    </row>
    <row r="5" spans="1:14" x14ac:dyDescent="0.2">
      <c r="A5" t="s">
        <v>48</v>
      </c>
    </row>
    <row r="6" spans="1:14" x14ac:dyDescent="0.2">
      <c r="A6" t="s">
        <v>49</v>
      </c>
    </row>
    <row r="7" spans="1:14" x14ac:dyDescent="0.2">
      <c r="A7" t="s">
        <v>44</v>
      </c>
    </row>
    <row r="8" spans="1:14" x14ac:dyDescent="0.2">
      <c r="A8" t="s">
        <v>43</v>
      </c>
    </row>
    <row r="9" spans="1:14" x14ac:dyDescent="0.2">
      <c r="A9" t="s">
        <v>52</v>
      </c>
    </row>
    <row r="10" spans="1:14" ht="17" thickBot="1" x14ac:dyDescent="0.25">
      <c r="A10" t="s">
        <v>1661</v>
      </c>
    </row>
    <row r="11" spans="1:14" ht="17" thickBot="1" x14ac:dyDescent="0.25">
      <c r="A11" s="2" t="s">
        <v>0</v>
      </c>
      <c r="B11" s="2" t="s">
        <v>1</v>
      </c>
      <c r="C11" s="2" t="s">
        <v>2</v>
      </c>
      <c r="D11" s="2" t="s">
        <v>3</v>
      </c>
      <c r="E11" s="2" t="s">
        <v>4</v>
      </c>
      <c r="F11" s="2" t="s">
        <v>5</v>
      </c>
      <c r="G11" s="2" t="s">
        <v>6</v>
      </c>
      <c r="H11" s="2" t="s">
        <v>41</v>
      </c>
      <c r="I11" s="2" t="s">
        <v>50</v>
      </c>
      <c r="J11" s="11" t="s">
        <v>1647</v>
      </c>
    </row>
    <row r="12" spans="1:14" x14ac:dyDescent="0.2">
      <c r="A12">
        <v>0</v>
      </c>
      <c r="B12">
        <v>2.6374796393741301E-4</v>
      </c>
      <c r="C12">
        <v>2</v>
      </c>
      <c r="D12">
        <v>426</v>
      </c>
      <c r="E12" t="s">
        <v>108</v>
      </c>
      <c r="F12" t="s">
        <v>109</v>
      </c>
      <c r="G12">
        <v>1.7108018969887399E-2</v>
      </c>
      <c r="H12" t="s">
        <v>42</v>
      </c>
      <c r="I12" t="s">
        <v>51</v>
      </c>
      <c r="J12" t="s">
        <v>1650</v>
      </c>
    </row>
    <row r="13" spans="1:14" x14ac:dyDescent="0.2">
      <c r="A13">
        <v>0</v>
      </c>
      <c r="B13" s="1">
        <v>3.4916608160737601E-4</v>
      </c>
      <c r="C13">
        <v>4</v>
      </c>
      <c r="D13">
        <v>5</v>
      </c>
      <c r="E13" t="s">
        <v>110</v>
      </c>
      <c r="F13" t="s">
        <v>111</v>
      </c>
      <c r="G13">
        <v>1.9878106227322199E-2</v>
      </c>
      <c r="H13" t="s">
        <v>42</v>
      </c>
      <c r="I13" t="s">
        <v>51</v>
      </c>
      <c r="J13" t="s">
        <v>1650</v>
      </c>
    </row>
    <row r="14" spans="1:14" x14ac:dyDescent="0.2">
      <c r="A14">
        <v>0</v>
      </c>
      <c r="B14" s="1">
        <v>9.57428101583448E-8</v>
      </c>
      <c r="C14">
        <v>9</v>
      </c>
      <c r="D14">
        <v>130</v>
      </c>
      <c r="E14" t="s">
        <v>112</v>
      </c>
      <c r="F14" t="s">
        <v>113</v>
      </c>
      <c r="G14">
        <v>2.2321752311202699E-5</v>
      </c>
      <c r="H14" t="s">
        <v>42</v>
      </c>
      <c r="I14" t="s">
        <v>51</v>
      </c>
      <c r="J14" t="s">
        <v>1650</v>
      </c>
    </row>
    <row r="15" spans="1:14" x14ac:dyDescent="0.2">
      <c r="A15">
        <v>0</v>
      </c>
      <c r="B15" s="1">
        <v>1.2292094568746501E-3</v>
      </c>
      <c r="C15">
        <v>3</v>
      </c>
      <c r="D15">
        <v>432</v>
      </c>
      <c r="E15" t="s">
        <v>114</v>
      </c>
      <c r="F15" t="s">
        <v>115</v>
      </c>
      <c r="G15">
        <v>4.8080078337233698E-2</v>
      </c>
      <c r="H15" t="s">
        <v>42</v>
      </c>
      <c r="I15" t="s">
        <v>51</v>
      </c>
      <c r="J15" t="s">
        <v>1657</v>
      </c>
    </row>
    <row r="16" spans="1:14" x14ac:dyDescent="0.2">
      <c r="A16">
        <v>0</v>
      </c>
      <c r="B16" s="1">
        <v>2.3997762361244999E-5</v>
      </c>
      <c r="C16">
        <v>1</v>
      </c>
      <c r="D16">
        <v>1257</v>
      </c>
      <c r="E16" t="s">
        <v>56</v>
      </c>
      <c r="F16" t="s">
        <v>57</v>
      </c>
      <c r="G16">
        <v>2.3498608904131101E-3</v>
      </c>
      <c r="H16" t="s">
        <v>42</v>
      </c>
      <c r="I16" t="s">
        <v>51</v>
      </c>
      <c r="J16" t="s">
        <v>1657</v>
      </c>
      <c r="N16" s="12"/>
    </row>
    <row r="17" spans="1:14" x14ac:dyDescent="0.2">
      <c r="A17">
        <v>0</v>
      </c>
      <c r="B17" s="1">
        <v>3.6100455127110197E-5</v>
      </c>
      <c r="C17">
        <v>3</v>
      </c>
      <c r="D17">
        <v>334</v>
      </c>
      <c r="E17" t="s">
        <v>116</v>
      </c>
      <c r="F17" t="s">
        <v>117</v>
      </c>
      <c r="G17">
        <v>3.1562112196844901E-3</v>
      </c>
      <c r="H17" t="s">
        <v>42</v>
      </c>
      <c r="I17" t="s">
        <v>51</v>
      </c>
      <c r="J17" t="s">
        <v>1650</v>
      </c>
      <c r="N17" s="12"/>
    </row>
    <row r="18" spans="1:14" x14ac:dyDescent="0.2">
      <c r="A18">
        <v>0</v>
      </c>
      <c r="B18" s="1">
        <v>5.2953358235976501E-4</v>
      </c>
      <c r="C18">
        <v>2</v>
      </c>
      <c r="D18">
        <v>110</v>
      </c>
      <c r="E18" t="s">
        <v>118</v>
      </c>
      <c r="F18" t="s">
        <v>119</v>
      </c>
      <c r="G18">
        <v>2.7006212700348E-2</v>
      </c>
      <c r="H18" t="s">
        <v>42</v>
      </c>
      <c r="I18" t="s">
        <v>51</v>
      </c>
      <c r="J18" t="s">
        <v>1650</v>
      </c>
      <c r="N18" s="12"/>
    </row>
    <row r="19" spans="1:14" x14ac:dyDescent="0.2">
      <c r="A19">
        <v>0</v>
      </c>
      <c r="B19" s="1">
        <v>7.5236702667459698E-4</v>
      </c>
      <c r="C19">
        <v>2</v>
      </c>
      <c r="D19">
        <v>30</v>
      </c>
      <c r="E19" t="s">
        <v>120</v>
      </c>
      <c r="F19" t="s">
        <v>121</v>
      </c>
      <c r="G19">
        <v>3.5419124640373299E-2</v>
      </c>
      <c r="H19" t="s">
        <v>42</v>
      </c>
      <c r="I19" t="s">
        <v>51</v>
      </c>
      <c r="J19" t="s">
        <v>1650</v>
      </c>
    </row>
    <row r="20" spans="1:14" x14ac:dyDescent="0.2">
      <c r="A20">
        <v>0</v>
      </c>
      <c r="B20" s="1">
        <v>8.8379994063247003E-8</v>
      </c>
      <c r="C20">
        <v>2</v>
      </c>
      <c r="D20">
        <v>217</v>
      </c>
      <c r="E20" t="s">
        <v>60</v>
      </c>
      <c r="F20" t="s">
        <v>61</v>
      </c>
      <c r="G20">
        <v>2.1635422546682901E-5</v>
      </c>
      <c r="H20" t="s">
        <v>42</v>
      </c>
      <c r="I20" t="s">
        <v>51</v>
      </c>
      <c r="J20" t="s">
        <v>1650</v>
      </c>
    </row>
    <row r="21" spans="1:14" x14ac:dyDescent="0.2">
      <c r="A21">
        <v>0</v>
      </c>
      <c r="B21">
        <v>4.11907127543082E-7</v>
      </c>
      <c r="C21">
        <v>2</v>
      </c>
      <c r="D21">
        <v>1701</v>
      </c>
      <c r="E21" t="s">
        <v>62</v>
      </c>
      <c r="F21" t="s">
        <v>63</v>
      </c>
      <c r="G21">
        <v>6.9541286084514806E-5</v>
      </c>
      <c r="H21" t="s">
        <v>42</v>
      </c>
      <c r="I21" t="s">
        <v>51</v>
      </c>
      <c r="J21" t="s">
        <v>1650</v>
      </c>
    </row>
    <row r="22" spans="1:14" x14ac:dyDescent="0.2">
      <c r="A22">
        <v>0</v>
      </c>
      <c r="B22">
        <v>4.3051194553676701E-16</v>
      </c>
      <c r="C22">
        <v>2</v>
      </c>
      <c r="D22">
        <v>3445</v>
      </c>
      <c r="E22" t="s">
        <v>64</v>
      </c>
      <c r="F22" t="s">
        <v>65</v>
      </c>
      <c r="G22">
        <v>1.05389324267401E-12</v>
      </c>
      <c r="H22" t="s">
        <v>42</v>
      </c>
      <c r="I22" t="s">
        <v>51</v>
      </c>
      <c r="J22" t="s">
        <v>1650</v>
      </c>
    </row>
    <row r="23" spans="1:14" x14ac:dyDescent="0.2">
      <c r="A23">
        <v>0</v>
      </c>
      <c r="B23" s="1">
        <v>1.7305564049391299E-7</v>
      </c>
      <c r="C23">
        <v>3</v>
      </c>
      <c r="D23">
        <v>1083</v>
      </c>
      <c r="E23" t="s">
        <v>66</v>
      </c>
      <c r="F23" t="s">
        <v>67</v>
      </c>
      <c r="G23">
        <v>3.7467191688847899E-5</v>
      </c>
      <c r="H23" t="s">
        <v>42</v>
      </c>
      <c r="I23" t="s">
        <v>51</v>
      </c>
      <c r="J23" t="s">
        <v>1650</v>
      </c>
    </row>
    <row r="24" spans="1:14" x14ac:dyDescent="0.2">
      <c r="A24">
        <v>0</v>
      </c>
      <c r="B24" s="1">
        <v>1.88463911173153E-4</v>
      </c>
      <c r="C24">
        <v>3</v>
      </c>
      <c r="D24">
        <v>19</v>
      </c>
      <c r="E24" t="s">
        <v>122</v>
      </c>
      <c r="F24" t="s">
        <v>123</v>
      </c>
      <c r="G24">
        <v>1.3181704415768001E-2</v>
      </c>
      <c r="H24" t="s">
        <v>42</v>
      </c>
      <c r="I24" t="s">
        <v>51</v>
      </c>
      <c r="J24" t="s">
        <v>1650</v>
      </c>
    </row>
    <row r="25" spans="1:14" x14ac:dyDescent="0.2">
      <c r="A25">
        <v>0</v>
      </c>
      <c r="B25" s="1">
        <v>5.4105463695882996E-13</v>
      </c>
      <c r="C25">
        <v>2</v>
      </c>
      <c r="D25">
        <v>677</v>
      </c>
      <c r="E25" t="s">
        <v>124</v>
      </c>
      <c r="F25" t="s">
        <v>125</v>
      </c>
      <c r="G25">
        <v>4.41500583758405E-10</v>
      </c>
      <c r="H25" t="s">
        <v>42</v>
      </c>
      <c r="I25" t="s">
        <v>51</v>
      </c>
      <c r="J25" t="s">
        <v>1650</v>
      </c>
    </row>
    <row r="26" spans="1:14" x14ac:dyDescent="0.2">
      <c r="A26">
        <v>0</v>
      </c>
      <c r="B26" s="1">
        <v>6.4910802605787396E-15</v>
      </c>
      <c r="C26">
        <v>4</v>
      </c>
      <c r="D26">
        <v>359</v>
      </c>
      <c r="E26" t="s">
        <v>126</v>
      </c>
      <c r="F26" t="s">
        <v>127</v>
      </c>
      <c r="G26">
        <v>9.2779975924031103E-12</v>
      </c>
      <c r="H26" t="s">
        <v>42</v>
      </c>
      <c r="I26" t="s">
        <v>51</v>
      </c>
      <c r="J26" t="s">
        <v>1650</v>
      </c>
    </row>
    <row r="27" spans="1:14" x14ac:dyDescent="0.2">
      <c r="A27">
        <v>0</v>
      </c>
      <c r="B27" s="1">
        <v>7.4158307277591895E-4</v>
      </c>
      <c r="C27">
        <v>7</v>
      </c>
      <c r="D27">
        <v>68</v>
      </c>
      <c r="E27" t="s">
        <v>128</v>
      </c>
      <c r="F27" t="s">
        <v>129</v>
      </c>
      <c r="G27">
        <v>3.5250395381659201E-2</v>
      </c>
      <c r="H27" t="s">
        <v>42</v>
      </c>
      <c r="I27" t="s">
        <v>51</v>
      </c>
      <c r="J27" t="s">
        <v>1650</v>
      </c>
    </row>
    <row r="28" spans="1:14" x14ac:dyDescent="0.2">
      <c r="A28">
        <v>0</v>
      </c>
      <c r="B28" s="1">
        <v>4.62769985490894E-4</v>
      </c>
      <c r="C28">
        <v>2</v>
      </c>
      <c r="D28">
        <v>376</v>
      </c>
      <c r="E28" t="s">
        <v>68</v>
      </c>
      <c r="F28" t="s">
        <v>69</v>
      </c>
      <c r="G28">
        <v>2.4627411401776302E-2</v>
      </c>
      <c r="H28" t="s">
        <v>42</v>
      </c>
      <c r="I28" t="s">
        <v>51</v>
      </c>
      <c r="J28" t="s">
        <v>1650</v>
      </c>
    </row>
    <row r="29" spans="1:14" x14ac:dyDescent="0.2">
      <c r="A29">
        <v>0</v>
      </c>
      <c r="B29">
        <v>4.0090038677707298E-4</v>
      </c>
      <c r="C29">
        <v>2</v>
      </c>
      <c r="D29">
        <v>159</v>
      </c>
      <c r="E29" t="s">
        <v>70</v>
      </c>
      <c r="F29" t="s">
        <v>71</v>
      </c>
      <c r="G29">
        <v>2.18089810406728E-2</v>
      </c>
      <c r="H29" t="s">
        <v>42</v>
      </c>
      <c r="I29" t="s">
        <v>51</v>
      </c>
      <c r="J29" t="s">
        <v>1650</v>
      </c>
    </row>
    <row r="30" spans="1:14" x14ac:dyDescent="0.2">
      <c r="A30">
        <v>0</v>
      </c>
      <c r="B30">
        <v>3.3664379860379298E-5</v>
      </c>
      <c r="C30">
        <v>3</v>
      </c>
      <c r="D30">
        <v>638</v>
      </c>
      <c r="E30" t="s">
        <v>130</v>
      </c>
      <c r="F30" t="s">
        <v>131</v>
      </c>
      <c r="G30">
        <v>2.9967418872075798E-3</v>
      </c>
      <c r="H30" t="s">
        <v>42</v>
      </c>
      <c r="I30" t="s">
        <v>51</v>
      </c>
      <c r="J30" t="s">
        <v>1657</v>
      </c>
    </row>
    <row r="31" spans="1:14" x14ac:dyDescent="0.2">
      <c r="A31">
        <v>0</v>
      </c>
      <c r="B31">
        <v>2.2362280332744601E-6</v>
      </c>
      <c r="C31">
        <v>2</v>
      </c>
      <c r="D31">
        <v>1258</v>
      </c>
      <c r="E31" t="s">
        <v>132</v>
      </c>
      <c r="F31" t="s">
        <v>133</v>
      </c>
      <c r="G31">
        <v>2.8812032765557297E-4</v>
      </c>
      <c r="H31" t="s">
        <v>42</v>
      </c>
      <c r="I31" t="s">
        <v>51</v>
      </c>
      <c r="J31" t="s">
        <v>1650</v>
      </c>
    </row>
    <row r="32" spans="1:14" x14ac:dyDescent="0.2">
      <c r="A32">
        <v>0</v>
      </c>
      <c r="B32">
        <v>2.31521517592727E-8</v>
      </c>
      <c r="C32">
        <v>2</v>
      </c>
      <c r="D32">
        <v>2777</v>
      </c>
      <c r="E32" t="s">
        <v>11</v>
      </c>
      <c r="F32" t="s">
        <v>12</v>
      </c>
      <c r="G32">
        <v>8.7194565394922398E-6</v>
      </c>
      <c r="H32" t="s">
        <v>42</v>
      </c>
      <c r="I32" t="s">
        <v>51</v>
      </c>
      <c r="J32" t="s">
        <v>1650</v>
      </c>
    </row>
    <row r="33" spans="1:10" x14ac:dyDescent="0.2">
      <c r="A33">
        <v>0</v>
      </c>
      <c r="B33">
        <v>3.3651573463525802E-4</v>
      </c>
      <c r="C33">
        <v>3</v>
      </c>
      <c r="D33">
        <v>893</v>
      </c>
      <c r="E33" t="s">
        <v>13</v>
      </c>
      <c r="F33" t="s">
        <v>14</v>
      </c>
      <c r="G33">
        <v>1.9850373937038798E-2</v>
      </c>
      <c r="H33" t="s">
        <v>42</v>
      </c>
      <c r="I33" t="s">
        <v>51</v>
      </c>
      <c r="J33" t="s">
        <v>1657</v>
      </c>
    </row>
    <row r="34" spans="1:10" x14ac:dyDescent="0.2">
      <c r="A34">
        <v>0</v>
      </c>
      <c r="B34">
        <v>2.8960696919478002E-4</v>
      </c>
      <c r="C34">
        <v>2</v>
      </c>
      <c r="D34">
        <v>691</v>
      </c>
      <c r="E34" t="s">
        <v>134</v>
      </c>
      <c r="F34" t="s">
        <v>135</v>
      </c>
      <c r="G34">
        <v>1.8178406681764701E-2</v>
      </c>
      <c r="H34" t="s">
        <v>42</v>
      </c>
      <c r="I34" t="s">
        <v>51</v>
      </c>
      <c r="J34" t="s">
        <v>1657</v>
      </c>
    </row>
    <row r="35" spans="1:10" x14ac:dyDescent="0.2">
      <c r="A35">
        <v>0</v>
      </c>
      <c r="B35">
        <v>9.1958916435315701E-4</v>
      </c>
      <c r="C35">
        <v>3</v>
      </c>
      <c r="D35">
        <v>72</v>
      </c>
      <c r="E35" t="s">
        <v>136</v>
      </c>
      <c r="F35" t="s">
        <v>137</v>
      </c>
      <c r="G35">
        <v>4.0199183470295101E-2</v>
      </c>
      <c r="H35" t="s">
        <v>42</v>
      </c>
      <c r="I35" t="s">
        <v>51</v>
      </c>
      <c r="J35" t="s">
        <v>1650</v>
      </c>
    </row>
    <row r="36" spans="1:10" x14ac:dyDescent="0.2">
      <c r="A36">
        <v>0</v>
      </c>
      <c r="B36">
        <v>5.0666390072098902E-7</v>
      </c>
      <c r="C36">
        <v>4</v>
      </c>
      <c r="D36">
        <v>732</v>
      </c>
      <c r="E36" t="s">
        <v>138</v>
      </c>
      <c r="F36" t="s">
        <v>139</v>
      </c>
      <c r="G36">
        <v>8.2687548597665399E-5</v>
      </c>
      <c r="H36" t="s">
        <v>42</v>
      </c>
      <c r="I36" t="s">
        <v>51</v>
      </c>
      <c r="J36" t="s">
        <v>1650</v>
      </c>
    </row>
    <row r="37" spans="1:10" x14ac:dyDescent="0.2">
      <c r="A37">
        <v>0</v>
      </c>
      <c r="B37">
        <v>7.09610482298049E-9</v>
      </c>
      <c r="C37">
        <v>2</v>
      </c>
      <c r="D37">
        <v>1959</v>
      </c>
      <c r="E37" t="s">
        <v>140</v>
      </c>
      <c r="F37" t="s">
        <v>141</v>
      </c>
      <c r="G37">
        <v>3.1584117466647698E-6</v>
      </c>
      <c r="H37" t="s">
        <v>42</v>
      </c>
      <c r="I37" t="s">
        <v>51</v>
      </c>
      <c r="J37" t="s">
        <v>1650</v>
      </c>
    </row>
    <row r="38" spans="1:10" x14ac:dyDescent="0.2">
      <c r="A38">
        <v>0</v>
      </c>
      <c r="B38">
        <v>2.54034679507877E-8</v>
      </c>
      <c r="C38">
        <v>2</v>
      </c>
      <c r="D38">
        <v>530</v>
      </c>
      <c r="E38" t="s">
        <v>142</v>
      </c>
      <c r="F38" t="s">
        <v>143</v>
      </c>
      <c r="G38">
        <v>8.8839556490754693E-6</v>
      </c>
      <c r="H38" t="s">
        <v>42</v>
      </c>
      <c r="I38" t="s">
        <v>51</v>
      </c>
      <c r="J38" t="s">
        <v>1650</v>
      </c>
    </row>
    <row r="39" spans="1:10" x14ac:dyDescent="0.2">
      <c r="A39">
        <v>0</v>
      </c>
      <c r="B39">
        <v>6.5925088210567501E-6</v>
      </c>
      <c r="C39">
        <v>2</v>
      </c>
      <c r="D39">
        <v>274</v>
      </c>
      <c r="E39" t="s">
        <v>144</v>
      </c>
      <c r="F39" t="s">
        <v>145</v>
      </c>
      <c r="G39">
        <v>7.3356643608849697E-4</v>
      </c>
      <c r="H39" t="s">
        <v>42</v>
      </c>
      <c r="I39" t="s">
        <v>51</v>
      </c>
      <c r="J39" t="s">
        <v>1650</v>
      </c>
    </row>
    <row r="40" spans="1:10" x14ac:dyDescent="0.2">
      <c r="A40">
        <v>0</v>
      </c>
      <c r="B40">
        <v>1.1640845481915201E-3</v>
      </c>
      <c r="C40">
        <v>2</v>
      </c>
      <c r="D40">
        <v>131</v>
      </c>
      <c r="E40" t="s">
        <v>146</v>
      </c>
      <c r="F40" t="s">
        <v>147</v>
      </c>
      <c r="G40">
        <v>4.5962564096336103E-2</v>
      </c>
      <c r="H40" t="s">
        <v>42</v>
      </c>
      <c r="I40" t="s">
        <v>51</v>
      </c>
      <c r="J40" t="s">
        <v>1650</v>
      </c>
    </row>
    <row r="41" spans="1:10" x14ac:dyDescent="0.2">
      <c r="A41">
        <v>0</v>
      </c>
      <c r="B41">
        <v>1.99922809602141E-4</v>
      </c>
      <c r="C41">
        <v>2</v>
      </c>
      <c r="D41">
        <v>756</v>
      </c>
      <c r="E41" t="s">
        <v>148</v>
      </c>
      <c r="F41" t="s">
        <v>149</v>
      </c>
      <c r="G41">
        <v>1.35947510529456E-2</v>
      </c>
      <c r="H41" t="s">
        <v>42</v>
      </c>
      <c r="I41" t="s">
        <v>51</v>
      </c>
      <c r="J41" t="s">
        <v>1655</v>
      </c>
    </row>
    <row r="42" spans="1:10" x14ac:dyDescent="0.2">
      <c r="A42">
        <v>0</v>
      </c>
      <c r="B42">
        <v>2.6556565394433E-4</v>
      </c>
      <c r="C42">
        <v>4</v>
      </c>
      <c r="D42">
        <v>52</v>
      </c>
      <c r="E42" t="s">
        <v>150</v>
      </c>
      <c r="F42" t="s">
        <v>151</v>
      </c>
      <c r="G42">
        <v>1.7108018969887399E-2</v>
      </c>
      <c r="H42" t="s">
        <v>42</v>
      </c>
      <c r="I42" t="s">
        <v>51</v>
      </c>
      <c r="J42" t="s">
        <v>1650</v>
      </c>
    </row>
    <row r="43" spans="1:10" x14ac:dyDescent="0.2">
      <c r="A43">
        <v>0</v>
      </c>
      <c r="B43">
        <v>1.07142333811967E-3</v>
      </c>
      <c r="C43">
        <v>5</v>
      </c>
      <c r="D43">
        <v>75</v>
      </c>
      <c r="E43" t="s">
        <v>152</v>
      </c>
      <c r="F43" t="s">
        <v>153</v>
      </c>
      <c r="G43">
        <v>4.2997448060933599E-2</v>
      </c>
      <c r="H43" t="s">
        <v>42</v>
      </c>
      <c r="I43" t="s">
        <v>51</v>
      </c>
      <c r="J43" t="s">
        <v>1657</v>
      </c>
    </row>
    <row r="44" spans="1:10" x14ac:dyDescent="0.2">
      <c r="A44">
        <v>0</v>
      </c>
      <c r="B44">
        <v>9.6618138234403803E-4</v>
      </c>
      <c r="C44">
        <v>3</v>
      </c>
      <c r="D44">
        <v>8</v>
      </c>
      <c r="E44" t="s">
        <v>154</v>
      </c>
      <c r="F44" t="s">
        <v>155</v>
      </c>
      <c r="G44">
        <v>4.0471082551268099E-2</v>
      </c>
      <c r="H44" t="s">
        <v>42</v>
      </c>
      <c r="I44" t="s">
        <v>51</v>
      </c>
      <c r="J44" t="s">
        <v>1650</v>
      </c>
    </row>
    <row r="45" spans="1:10" x14ac:dyDescent="0.2">
      <c r="A45">
        <v>0</v>
      </c>
      <c r="B45">
        <v>1.9194218804911099E-4</v>
      </c>
      <c r="C45">
        <v>4</v>
      </c>
      <c r="D45">
        <v>662</v>
      </c>
      <c r="E45" t="s">
        <v>156</v>
      </c>
      <c r="F45" t="s">
        <v>157</v>
      </c>
      <c r="G45">
        <v>1.32359007420908E-2</v>
      </c>
      <c r="H45" t="s">
        <v>42</v>
      </c>
      <c r="I45" t="s">
        <v>51</v>
      </c>
      <c r="J45" t="s">
        <v>1655</v>
      </c>
    </row>
    <row r="46" spans="1:10" x14ac:dyDescent="0.2">
      <c r="A46">
        <v>0</v>
      </c>
      <c r="B46">
        <v>3.3243190027360797E-5</v>
      </c>
      <c r="C46">
        <v>2</v>
      </c>
      <c r="D46">
        <v>11</v>
      </c>
      <c r="E46" t="s">
        <v>158</v>
      </c>
      <c r="F46" t="s">
        <v>159</v>
      </c>
      <c r="G46">
        <v>2.9967418872075798E-3</v>
      </c>
      <c r="H46" t="s">
        <v>42</v>
      </c>
      <c r="I46" t="s">
        <v>51</v>
      </c>
      <c r="J46" t="s">
        <v>1650</v>
      </c>
    </row>
    <row r="47" spans="1:10" x14ac:dyDescent="0.2">
      <c r="A47">
        <v>0</v>
      </c>
      <c r="B47">
        <v>3.4916608160737601E-4</v>
      </c>
      <c r="C47">
        <v>2</v>
      </c>
      <c r="D47">
        <v>5</v>
      </c>
      <c r="E47" t="s">
        <v>160</v>
      </c>
      <c r="F47" t="s">
        <v>161</v>
      </c>
      <c r="G47">
        <v>1.9878106227322199E-2</v>
      </c>
      <c r="H47" t="s">
        <v>42</v>
      </c>
      <c r="I47" t="s">
        <v>51</v>
      </c>
      <c r="J47" t="s">
        <v>1650</v>
      </c>
    </row>
    <row r="48" spans="1:10" x14ac:dyDescent="0.2">
      <c r="A48">
        <v>0</v>
      </c>
      <c r="B48">
        <v>5.7115367681973997E-5</v>
      </c>
      <c r="C48">
        <v>3</v>
      </c>
      <c r="D48">
        <v>13</v>
      </c>
      <c r="E48" t="s">
        <v>162</v>
      </c>
      <c r="F48" t="s">
        <v>163</v>
      </c>
      <c r="G48">
        <v>4.6606140028490799E-3</v>
      </c>
      <c r="H48" t="s">
        <v>42</v>
      </c>
      <c r="I48" t="s">
        <v>51</v>
      </c>
      <c r="J48" t="s">
        <v>1650</v>
      </c>
    </row>
    <row r="49" spans="1:10" x14ac:dyDescent="0.2">
      <c r="A49">
        <v>0</v>
      </c>
      <c r="B49">
        <v>3.4916608160737601E-4</v>
      </c>
      <c r="C49">
        <v>3</v>
      </c>
      <c r="D49">
        <v>5</v>
      </c>
      <c r="E49" t="s">
        <v>164</v>
      </c>
      <c r="F49" t="s">
        <v>165</v>
      </c>
      <c r="G49">
        <v>1.9878106227322199E-2</v>
      </c>
      <c r="H49" t="s">
        <v>42</v>
      </c>
      <c r="I49" t="s">
        <v>51</v>
      </c>
      <c r="J49" t="s">
        <v>1650</v>
      </c>
    </row>
    <row r="50" spans="1:10" x14ac:dyDescent="0.2">
      <c r="A50">
        <v>0</v>
      </c>
      <c r="B50">
        <v>3.8508890647966001E-4</v>
      </c>
      <c r="C50">
        <v>4</v>
      </c>
      <c r="D50">
        <v>24</v>
      </c>
      <c r="E50" t="s">
        <v>166</v>
      </c>
      <c r="F50" t="s">
        <v>167</v>
      </c>
      <c r="G50">
        <v>2.11842166980271E-2</v>
      </c>
      <c r="H50" t="s">
        <v>42</v>
      </c>
      <c r="I50" t="s">
        <v>51</v>
      </c>
      <c r="J50" t="s">
        <v>1650</v>
      </c>
    </row>
    <row r="51" spans="1:10" x14ac:dyDescent="0.2">
      <c r="A51">
        <v>0</v>
      </c>
      <c r="B51">
        <v>9.6287742422372202E-4</v>
      </c>
      <c r="C51">
        <v>2</v>
      </c>
      <c r="D51">
        <v>1651</v>
      </c>
      <c r="E51" t="s">
        <v>15</v>
      </c>
      <c r="F51" t="s">
        <v>16</v>
      </c>
      <c r="G51">
        <v>4.0471082551268099E-2</v>
      </c>
      <c r="H51" t="s">
        <v>42</v>
      </c>
      <c r="I51" t="s">
        <v>51</v>
      </c>
      <c r="J51" t="s">
        <v>1650</v>
      </c>
    </row>
    <row r="52" spans="1:10" x14ac:dyDescent="0.2">
      <c r="A52">
        <v>0</v>
      </c>
      <c r="B52">
        <v>7.5141421157214602E-17</v>
      </c>
      <c r="C52">
        <v>2</v>
      </c>
      <c r="D52">
        <v>3616</v>
      </c>
      <c r="E52" t="s">
        <v>19</v>
      </c>
      <c r="F52" t="s">
        <v>20</v>
      </c>
      <c r="G52">
        <v>3.67892397985723E-13</v>
      </c>
      <c r="H52" t="s">
        <v>42</v>
      </c>
      <c r="I52" t="s">
        <v>51</v>
      </c>
      <c r="J52" t="s">
        <v>1650</v>
      </c>
    </row>
    <row r="53" spans="1:10" x14ac:dyDescent="0.2">
      <c r="A53">
        <v>0</v>
      </c>
      <c r="B53">
        <v>3.0834810513380901E-7</v>
      </c>
      <c r="C53">
        <v>2</v>
      </c>
      <c r="D53">
        <v>948</v>
      </c>
      <c r="E53" t="s">
        <v>72</v>
      </c>
      <c r="F53" t="s">
        <v>73</v>
      </c>
      <c r="G53">
        <v>5.59137897309307E-5</v>
      </c>
      <c r="H53" t="s">
        <v>42</v>
      </c>
      <c r="I53" t="s">
        <v>51</v>
      </c>
      <c r="J53" t="s">
        <v>1650</v>
      </c>
    </row>
    <row r="54" spans="1:10" x14ac:dyDescent="0.2">
      <c r="A54">
        <v>0</v>
      </c>
      <c r="B54">
        <v>7.2015661512374997E-8</v>
      </c>
      <c r="C54">
        <v>5</v>
      </c>
      <c r="D54">
        <v>502</v>
      </c>
      <c r="E54" t="s">
        <v>168</v>
      </c>
      <c r="F54" t="s">
        <v>169</v>
      </c>
      <c r="G54">
        <v>1.9588259931365998E-5</v>
      </c>
      <c r="H54" t="s">
        <v>42</v>
      </c>
      <c r="I54" t="s">
        <v>51</v>
      </c>
      <c r="J54" t="s">
        <v>1655</v>
      </c>
    </row>
    <row r="55" spans="1:10" x14ac:dyDescent="0.2">
      <c r="A55">
        <v>0</v>
      </c>
      <c r="B55">
        <v>1.24316806683988E-9</v>
      </c>
      <c r="C55">
        <v>5</v>
      </c>
      <c r="D55">
        <v>2409</v>
      </c>
      <c r="E55" t="s">
        <v>21</v>
      </c>
      <c r="F55" t="s">
        <v>22</v>
      </c>
      <c r="G55">
        <v>6.7628342836089502E-7</v>
      </c>
      <c r="H55" t="s">
        <v>42</v>
      </c>
      <c r="I55" t="s">
        <v>51</v>
      </c>
      <c r="J55" t="s">
        <v>1650</v>
      </c>
    </row>
    <row r="56" spans="1:10" x14ac:dyDescent="0.2">
      <c r="A56">
        <v>0</v>
      </c>
      <c r="B56">
        <v>8.7384126522181899E-12</v>
      </c>
      <c r="C56">
        <v>2</v>
      </c>
      <c r="D56">
        <v>1864</v>
      </c>
      <c r="E56" t="s">
        <v>74</v>
      </c>
      <c r="F56" t="s">
        <v>75</v>
      </c>
      <c r="G56">
        <v>6.1118954778943196E-9</v>
      </c>
      <c r="H56" t="s">
        <v>42</v>
      </c>
      <c r="I56" t="s">
        <v>51</v>
      </c>
      <c r="J56" t="s">
        <v>1650</v>
      </c>
    </row>
    <row r="57" spans="1:10" x14ac:dyDescent="0.2">
      <c r="A57">
        <v>0</v>
      </c>
      <c r="B57">
        <v>1.07312813951369E-6</v>
      </c>
      <c r="C57">
        <v>2</v>
      </c>
      <c r="D57">
        <v>692</v>
      </c>
      <c r="E57" t="s">
        <v>76</v>
      </c>
      <c r="F57" t="s">
        <v>77</v>
      </c>
      <c r="G57">
        <v>1.5453045208997101E-4</v>
      </c>
      <c r="H57" t="s">
        <v>42</v>
      </c>
      <c r="I57" t="s">
        <v>51</v>
      </c>
      <c r="J57" t="s">
        <v>1650</v>
      </c>
    </row>
    <row r="58" spans="1:10" x14ac:dyDescent="0.2">
      <c r="A58">
        <v>0</v>
      </c>
      <c r="B58">
        <v>7.2749427549952898E-4</v>
      </c>
      <c r="C58">
        <v>5</v>
      </c>
      <c r="D58">
        <v>7</v>
      </c>
      <c r="E58" t="s">
        <v>170</v>
      </c>
      <c r="F58" t="s">
        <v>171</v>
      </c>
      <c r="G58">
        <v>3.4919725223977398E-2</v>
      </c>
      <c r="H58" t="s">
        <v>42</v>
      </c>
      <c r="I58" t="s">
        <v>51</v>
      </c>
      <c r="J58" t="s">
        <v>1650</v>
      </c>
    </row>
    <row r="59" spans="1:10" x14ac:dyDescent="0.2">
      <c r="A59">
        <v>0</v>
      </c>
      <c r="B59">
        <v>2.5334695092310201E-14</v>
      </c>
      <c r="C59">
        <v>2</v>
      </c>
      <c r="D59">
        <v>2484</v>
      </c>
      <c r="E59" t="s">
        <v>80</v>
      </c>
      <c r="F59" t="s">
        <v>81</v>
      </c>
      <c r="G59">
        <v>2.4807733434390102E-11</v>
      </c>
      <c r="H59" t="s">
        <v>42</v>
      </c>
      <c r="I59" t="s">
        <v>51</v>
      </c>
      <c r="J59" t="s">
        <v>1650</v>
      </c>
    </row>
    <row r="60" spans="1:10" x14ac:dyDescent="0.2">
      <c r="A60">
        <v>0</v>
      </c>
      <c r="B60">
        <v>7.5800633924861998E-15</v>
      </c>
      <c r="C60">
        <v>2</v>
      </c>
      <c r="D60">
        <v>456</v>
      </c>
      <c r="E60" t="s">
        <v>172</v>
      </c>
      <c r="F60" t="s">
        <v>173</v>
      </c>
      <c r="G60">
        <v>9.2779975924031103E-12</v>
      </c>
      <c r="H60" t="s">
        <v>42</v>
      </c>
      <c r="I60" t="s">
        <v>51</v>
      </c>
      <c r="J60" t="s">
        <v>1650</v>
      </c>
    </row>
    <row r="61" spans="1:10" x14ac:dyDescent="0.2">
      <c r="A61">
        <v>0</v>
      </c>
      <c r="B61">
        <v>2.3285230147902501E-7</v>
      </c>
      <c r="C61">
        <v>2</v>
      </c>
      <c r="D61">
        <v>3133</v>
      </c>
      <c r="E61" t="s">
        <v>174</v>
      </c>
      <c r="F61" t="s">
        <v>175</v>
      </c>
      <c r="G61">
        <v>4.48447687410733E-5</v>
      </c>
      <c r="H61" t="s">
        <v>42</v>
      </c>
      <c r="I61" t="s">
        <v>51</v>
      </c>
      <c r="J61" t="s">
        <v>1650</v>
      </c>
    </row>
    <row r="62" spans="1:10" x14ac:dyDescent="0.2">
      <c r="A62">
        <v>0</v>
      </c>
      <c r="B62">
        <v>7.9829096316491501E-4</v>
      </c>
      <c r="C62">
        <v>5</v>
      </c>
      <c r="D62">
        <v>581</v>
      </c>
      <c r="E62" t="s">
        <v>176</v>
      </c>
      <c r="F62" t="s">
        <v>177</v>
      </c>
      <c r="G62">
        <v>3.6872005242032303E-2</v>
      </c>
      <c r="H62" t="s">
        <v>42</v>
      </c>
      <c r="I62" t="s">
        <v>51</v>
      </c>
      <c r="J62" t="s">
        <v>1650</v>
      </c>
    </row>
    <row r="63" spans="1:10" x14ac:dyDescent="0.2">
      <c r="A63">
        <v>0</v>
      </c>
      <c r="B63">
        <v>5.2168940513498804E-4</v>
      </c>
      <c r="C63">
        <v>6</v>
      </c>
      <c r="D63">
        <v>6</v>
      </c>
      <c r="E63" t="s">
        <v>178</v>
      </c>
      <c r="F63" t="s">
        <v>179</v>
      </c>
      <c r="G63">
        <v>2.6886224500430499E-2</v>
      </c>
      <c r="H63" t="s">
        <v>42</v>
      </c>
      <c r="I63" t="s">
        <v>51</v>
      </c>
      <c r="J63" t="s">
        <v>1650</v>
      </c>
    </row>
    <row r="64" spans="1:10" x14ac:dyDescent="0.2">
      <c r="A64">
        <v>0</v>
      </c>
      <c r="B64">
        <v>2.08680793698161E-6</v>
      </c>
      <c r="C64">
        <v>2</v>
      </c>
      <c r="D64">
        <v>809</v>
      </c>
      <c r="E64" t="s">
        <v>180</v>
      </c>
      <c r="F64" t="s">
        <v>181</v>
      </c>
      <c r="G64">
        <v>2.7613545025572902E-4</v>
      </c>
      <c r="H64" t="s">
        <v>42</v>
      </c>
      <c r="I64" t="s">
        <v>51</v>
      </c>
      <c r="J64" t="s">
        <v>1655</v>
      </c>
    </row>
    <row r="65" spans="1:10" x14ac:dyDescent="0.2">
      <c r="A65">
        <v>0</v>
      </c>
      <c r="B65">
        <v>3.0559234725818698E-4</v>
      </c>
      <c r="C65">
        <v>2</v>
      </c>
      <c r="D65">
        <v>281</v>
      </c>
      <c r="E65" t="s">
        <v>182</v>
      </c>
      <c r="F65" t="s">
        <v>183</v>
      </c>
      <c r="G65">
        <v>1.8723596680529399E-2</v>
      </c>
      <c r="H65" t="s">
        <v>42</v>
      </c>
      <c r="I65" t="s">
        <v>51</v>
      </c>
      <c r="J65" t="s">
        <v>1650</v>
      </c>
    </row>
    <row r="66" spans="1:10" x14ac:dyDescent="0.2">
      <c r="A66">
        <v>0</v>
      </c>
      <c r="B66">
        <v>5.4523320121070999E-4</v>
      </c>
      <c r="C66">
        <v>1</v>
      </c>
      <c r="D66">
        <v>1142</v>
      </c>
      <c r="E66" t="s">
        <v>184</v>
      </c>
      <c r="F66" t="s">
        <v>185</v>
      </c>
      <c r="G66">
        <v>2.75202242590478E-2</v>
      </c>
      <c r="H66" t="s">
        <v>42</v>
      </c>
      <c r="I66" t="s">
        <v>51</v>
      </c>
      <c r="J66" t="s">
        <v>1650</v>
      </c>
    </row>
    <row r="67" spans="1:10" x14ac:dyDescent="0.2">
      <c r="A67">
        <v>0</v>
      </c>
      <c r="B67">
        <v>3.8961906475706001E-7</v>
      </c>
      <c r="C67">
        <v>2</v>
      </c>
      <c r="D67">
        <v>2205</v>
      </c>
      <c r="E67" t="s">
        <v>186</v>
      </c>
      <c r="F67" t="s">
        <v>187</v>
      </c>
      <c r="G67">
        <v>6.8127676466091605E-5</v>
      </c>
      <c r="H67" t="s">
        <v>42</v>
      </c>
      <c r="I67" t="s">
        <v>51</v>
      </c>
      <c r="J67" t="s">
        <v>1650</v>
      </c>
    </row>
    <row r="68" spans="1:10" x14ac:dyDescent="0.2">
      <c r="A68">
        <v>0</v>
      </c>
      <c r="B68">
        <v>8.4659417066547198E-4</v>
      </c>
      <c r="C68">
        <v>2</v>
      </c>
      <c r="D68">
        <v>122</v>
      </c>
      <c r="E68" t="s">
        <v>188</v>
      </c>
      <c r="F68" t="s">
        <v>189</v>
      </c>
      <c r="G68">
        <v>3.73416672034068E-2</v>
      </c>
      <c r="H68" t="s">
        <v>42</v>
      </c>
      <c r="I68" t="s">
        <v>51</v>
      </c>
      <c r="J68" t="s">
        <v>1650</v>
      </c>
    </row>
    <row r="69" spans="1:10" x14ac:dyDescent="0.2">
      <c r="A69">
        <v>0</v>
      </c>
      <c r="B69">
        <v>1.28876827421179E-3</v>
      </c>
      <c r="C69">
        <v>2</v>
      </c>
      <c r="D69">
        <v>36</v>
      </c>
      <c r="E69" t="s">
        <v>190</v>
      </c>
      <c r="F69" t="s">
        <v>191</v>
      </c>
      <c r="G69">
        <v>4.9683539138117502E-2</v>
      </c>
      <c r="H69" t="s">
        <v>42</v>
      </c>
      <c r="I69" t="s">
        <v>51</v>
      </c>
      <c r="J69" t="s">
        <v>1650</v>
      </c>
    </row>
    <row r="70" spans="1:10" x14ac:dyDescent="0.2">
      <c r="A70">
        <v>0</v>
      </c>
      <c r="B70">
        <v>7.0120914795592003E-4</v>
      </c>
      <c r="C70">
        <v>3</v>
      </c>
      <c r="D70">
        <v>67</v>
      </c>
      <c r="E70" t="s">
        <v>192</v>
      </c>
      <c r="F70" t="s">
        <v>193</v>
      </c>
      <c r="G70">
        <v>3.3991287013783997E-2</v>
      </c>
      <c r="H70" t="s">
        <v>42</v>
      </c>
      <c r="I70" t="s">
        <v>51</v>
      </c>
      <c r="J70" t="s">
        <v>1650</v>
      </c>
    </row>
    <row r="71" spans="1:10" x14ac:dyDescent="0.2">
      <c r="A71">
        <v>0</v>
      </c>
      <c r="B71">
        <v>3.2627162830680702E-4</v>
      </c>
      <c r="C71">
        <v>2</v>
      </c>
      <c r="D71">
        <v>99</v>
      </c>
      <c r="E71" t="s">
        <v>194</v>
      </c>
      <c r="F71" t="s">
        <v>195</v>
      </c>
      <c r="G71">
        <v>1.9480803563294201E-2</v>
      </c>
      <c r="H71" t="s">
        <v>42</v>
      </c>
      <c r="I71" t="s">
        <v>51</v>
      </c>
      <c r="J71" t="s">
        <v>1650</v>
      </c>
    </row>
    <row r="72" spans="1:10" x14ac:dyDescent="0.2">
      <c r="A72">
        <v>0</v>
      </c>
      <c r="B72">
        <v>9.9784265606852707E-4</v>
      </c>
      <c r="C72">
        <v>2</v>
      </c>
      <c r="D72">
        <v>33</v>
      </c>
      <c r="E72" t="s">
        <v>196</v>
      </c>
      <c r="F72" t="s">
        <v>197</v>
      </c>
      <c r="G72">
        <v>4.07119803675959E-2</v>
      </c>
      <c r="H72" t="s">
        <v>42</v>
      </c>
      <c r="I72" t="s">
        <v>51</v>
      </c>
      <c r="J72" t="s">
        <v>1650</v>
      </c>
    </row>
    <row r="73" spans="1:10" x14ac:dyDescent="0.2">
      <c r="A73">
        <v>0</v>
      </c>
      <c r="B73">
        <v>2.3202994803347599E-4</v>
      </c>
      <c r="C73">
        <v>2</v>
      </c>
      <c r="D73">
        <v>92</v>
      </c>
      <c r="E73" t="s">
        <v>198</v>
      </c>
      <c r="F73" t="s">
        <v>199</v>
      </c>
      <c r="G73">
        <v>1.5561898980437E-2</v>
      </c>
      <c r="H73" t="s">
        <v>42</v>
      </c>
      <c r="I73" t="s">
        <v>51</v>
      </c>
      <c r="J73" t="s">
        <v>1650</v>
      </c>
    </row>
    <row r="74" spans="1:10" x14ac:dyDescent="0.2">
      <c r="A74">
        <v>0</v>
      </c>
      <c r="B74">
        <v>1.4306953959819499E-4</v>
      </c>
      <c r="C74">
        <v>2</v>
      </c>
      <c r="D74">
        <v>83</v>
      </c>
      <c r="E74" t="s">
        <v>200</v>
      </c>
      <c r="F74" t="s">
        <v>201</v>
      </c>
      <c r="G74">
        <v>1.04547532219815E-2</v>
      </c>
      <c r="H74" t="s">
        <v>42</v>
      </c>
      <c r="I74" t="s">
        <v>51</v>
      </c>
      <c r="J74" t="s">
        <v>1650</v>
      </c>
    </row>
    <row r="75" spans="1:10" x14ac:dyDescent="0.2">
      <c r="A75">
        <v>0</v>
      </c>
      <c r="B75">
        <v>9.6618138234403803E-4</v>
      </c>
      <c r="C75">
        <v>4</v>
      </c>
      <c r="D75">
        <v>8</v>
      </c>
      <c r="E75" t="s">
        <v>202</v>
      </c>
      <c r="F75" t="s">
        <v>203</v>
      </c>
      <c r="G75">
        <v>4.0471082551268099E-2</v>
      </c>
      <c r="H75" t="s">
        <v>42</v>
      </c>
      <c r="I75" t="s">
        <v>51</v>
      </c>
      <c r="J75" t="s">
        <v>1650</v>
      </c>
    </row>
    <row r="76" spans="1:10" x14ac:dyDescent="0.2">
      <c r="A76">
        <v>0</v>
      </c>
      <c r="B76">
        <v>8.8975099173704494E-5</v>
      </c>
      <c r="C76">
        <v>3</v>
      </c>
      <c r="D76">
        <v>174</v>
      </c>
      <c r="E76" t="s">
        <v>204</v>
      </c>
      <c r="F76" t="s">
        <v>205</v>
      </c>
      <c r="G76">
        <v>6.9146362786421797E-3</v>
      </c>
      <c r="H76" t="s">
        <v>42</v>
      </c>
      <c r="I76" t="s">
        <v>51</v>
      </c>
      <c r="J76" t="s">
        <v>1650</v>
      </c>
    </row>
    <row r="77" spans="1:10" x14ac:dyDescent="0.2">
      <c r="A77">
        <v>0</v>
      </c>
      <c r="B77">
        <v>2.7505424540154802E-6</v>
      </c>
      <c r="C77">
        <v>2</v>
      </c>
      <c r="D77">
        <v>2082</v>
      </c>
      <c r="E77" t="s">
        <v>206</v>
      </c>
      <c r="F77" t="s">
        <v>207</v>
      </c>
      <c r="G77">
        <v>3.3666639637149498E-4</v>
      </c>
      <c r="H77" t="s">
        <v>42</v>
      </c>
      <c r="I77" t="s">
        <v>51</v>
      </c>
      <c r="J77" t="s">
        <v>1658</v>
      </c>
    </row>
    <row r="78" spans="1:10" x14ac:dyDescent="0.2">
      <c r="A78">
        <v>0</v>
      </c>
      <c r="B78">
        <v>1.1008905147551599E-3</v>
      </c>
      <c r="C78">
        <v>2</v>
      </c>
      <c r="D78">
        <v>700</v>
      </c>
      <c r="E78" t="s">
        <v>208</v>
      </c>
      <c r="F78" t="s">
        <v>209</v>
      </c>
      <c r="G78">
        <v>4.38208126848883E-2</v>
      </c>
      <c r="H78" t="s">
        <v>42</v>
      </c>
      <c r="I78" t="s">
        <v>51</v>
      </c>
      <c r="J78" t="s">
        <v>1658</v>
      </c>
    </row>
    <row r="79" spans="1:10" x14ac:dyDescent="0.2">
      <c r="A79">
        <v>0</v>
      </c>
      <c r="B79">
        <v>3.1911920498667898E-4</v>
      </c>
      <c r="C79">
        <v>2</v>
      </c>
      <c r="D79">
        <v>1089</v>
      </c>
      <c r="E79" t="s">
        <v>210</v>
      </c>
      <c r="F79" t="s">
        <v>211</v>
      </c>
      <c r="G79">
        <v>1.9288983056972599E-2</v>
      </c>
      <c r="H79" t="s">
        <v>42</v>
      </c>
      <c r="I79" t="s">
        <v>51</v>
      </c>
      <c r="J79" t="s">
        <v>1658</v>
      </c>
    </row>
    <row r="80" spans="1:10" x14ac:dyDescent="0.2">
      <c r="A80">
        <v>0</v>
      </c>
      <c r="B80">
        <v>6.2305484074300901E-4</v>
      </c>
      <c r="C80">
        <v>2</v>
      </c>
      <c r="D80">
        <v>114</v>
      </c>
      <c r="E80" t="s">
        <v>212</v>
      </c>
      <c r="F80" t="s">
        <v>213</v>
      </c>
      <c r="G80">
        <v>3.0504765002777701E-2</v>
      </c>
      <c r="H80" t="s">
        <v>42</v>
      </c>
      <c r="I80" t="s">
        <v>51</v>
      </c>
      <c r="J80" t="s">
        <v>1657</v>
      </c>
    </row>
    <row r="81" spans="1:10" x14ac:dyDescent="0.2">
      <c r="A81">
        <v>0</v>
      </c>
      <c r="B81">
        <v>4.9091345922264401E-4</v>
      </c>
      <c r="C81">
        <v>6</v>
      </c>
      <c r="D81">
        <v>61</v>
      </c>
      <c r="E81" t="s">
        <v>214</v>
      </c>
      <c r="F81" t="s">
        <v>215</v>
      </c>
      <c r="G81">
        <v>2.5569279748447499E-2</v>
      </c>
      <c r="H81" t="s">
        <v>42</v>
      </c>
      <c r="I81" t="s">
        <v>51</v>
      </c>
      <c r="J81" t="s">
        <v>1657</v>
      </c>
    </row>
    <row r="82" spans="1:10" x14ac:dyDescent="0.2">
      <c r="A82">
        <v>0</v>
      </c>
      <c r="B82">
        <v>8.1520049134714502E-4</v>
      </c>
      <c r="C82">
        <v>4</v>
      </c>
      <c r="D82">
        <v>182</v>
      </c>
      <c r="E82" t="s">
        <v>216</v>
      </c>
      <c r="F82" t="s">
        <v>217</v>
      </c>
      <c r="G82">
        <v>3.7251386433728502E-2</v>
      </c>
      <c r="H82" t="s">
        <v>42</v>
      </c>
      <c r="I82" t="s">
        <v>51</v>
      </c>
      <c r="J82" t="s">
        <v>1650</v>
      </c>
    </row>
    <row r="83" spans="1:10" x14ac:dyDescent="0.2">
      <c r="A83">
        <v>0</v>
      </c>
      <c r="B83">
        <v>1.04365280692798E-5</v>
      </c>
      <c r="C83">
        <v>2</v>
      </c>
      <c r="D83">
        <v>822</v>
      </c>
      <c r="E83" t="s">
        <v>218</v>
      </c>
      <c r="F83" t="s">
        <v>219</v>
      </c>
      <c r="G83">
        <v>1.0871753495147599E-3</v>
      </c>
      <c r="H83" t="s">
        <v>42</v>
      </c>
      <c r="I83" t="s">
        <v>51</v>
      </c>
      <c r="J83" t="s">
        <v>1650</v>
      </c>
    </row>
    <row r="84" spans="1:10" x14ac:dyDescent="0.2">
      <c r="A84">
        <v>0</v>
      </c>
      <c r="B84">
        <v>6.3211142187648998E-7</v>
      </c>
      <c r="C84">
        <v>2</v>
      </c>
      <c r="D84">
        <v>28</v>
      </c>
      <c r="E84" t="s">
        <v>220</v>
      </c>
      <c r="F84" t="s">
        <v>221</v>
      </c>
      <c r="G84">
        <v>9.9832823274428897E-5</v>
      </c>
      <c r="H84" t="s">
        <v>42</v>
      </c>
      <c r="I84" t="s">
        <v>51</v>
      </c>
      <c r="J84" t="s">
        <v>1650</v>
      </c>
    </row>
    <row r="85" spans="1:10" x14ac:dyDescent="0.2">
      <c r="A85">
        <v>0</v>
      </c>
      <c r="B85">
        <v>2.38146239229556E-7</v>
      </c>
      <c r="C85">
        <v>2</v>
      </c>
      <c r="D85">
        <v>1372</v>
      </c>
      <c r="E85" t="s">
        <v>222</v>
      </c>
      <c r="F85" t="s">
        <v>223</v>
      </c>
      <c r="G85">
        <v>4.48447687410733E-5</v>
      </c>
      <c r="H85" t="s">
        <v>42</v>
      </c>
      <c r="I85" t="s">
        <v>51</v>
      </c>
      <c r="J85" t="s">
        <v>1650</v>
      </c>
    </row>
    <row r="86" spans="1:10" x14ac:dyDescent="0.2">
      <c r="A86">
        <v>0</v>
      </c>
      <c r="B86">
        <v>1.34000361002045E-6</v>
      </c>
      <c r="C86">
        <v>4</v>
      </c>
      <c r="D86">
        <v>1220</v>
      </c>
      <c r="E86" t="s">
        <v>224</v>
      </c>
      <c r="F86" t="s">
        <v>225</v>
      </c>
      <c r="G86">
        <v>1.82240490962781E-4</v>
      </c>
      <c r="H86" t="s">
        <v>42</v>
      </c>
      <c r="I86" t="s">
        <v>51</v>
      </c>
      <c r="J86" t="s">
        <v>1650</v>
      </c>
    </row>
    <row r="87" spans="1:10" x14ac:dyDescent="0.2">
      <c r="A87">
        <v>0</v>
      </c>
      <c r="B87">
        <v>9.9784265606852707E-4</v>
      </c>
      <c r="C87">
        <v>4</v>
      </c>
      <c r="D87">
        <v>33</v>
      </c>
      <c r="E87" t="s">
        <v>226</v>
      </c>
      <c r="F87" t="s">
        <v>227</v>
      </c>
      <c r="G87">
        <v>4.07119803675959E-2</v>
      </c>
      <c r="H87" t="s">
        <v>42</v>
      </c>
      <c r="I87" t="s">
        <v>51</v>
      </c>
      <c r="J87" t="s">
        <v>1650</v>
      </c>
    </row>
    <row r="88" spans="1:10" x14ac:dyDescent="0.2">
      <c r="A88">
        <v>0</v>
      </c>
      <c r="B88">
        <v>6.8705040149004401E-5</v>
      </c>
      <c r="C88">
        <v>2</v>
      </c>
      <c r="D88">
        <v>115</v>
      </c>
      <c r="E88" t="s">
        <v>228</v>
      </c>
      <c r="F88" t="s">
        <v>229</v>
      </c>
      <c r="G88">
        <v>5.5144242060577997E-3</v>
      </c>
      <c r="H88" t="s">
        <v>42</v>
      </c>
      <c r="I88" t="s">
        <v>51</v>
      </c>
      <c r="J88" t="s">
        <v>1650</v>
      </c>
    </row>
    <row r="89" spans="1:10" x14ac:dyDescent="0.2">
      <c r="A89">
        <v>0</v>
      </c>
      <c r="B89">
        <v>3.1950441403000601E-5</v>
      </c>
      <c r="C89">
        <v>2</v>
      </c>
      <c r="D89">
        <v>1383</v>
      </c>
      <c r="E89" t="s">
        <v>230</v>
      </c>
      <c r="F89" t="s">
        <v>231</v>
      </c>
      <c r="G89">
        <v>2.95149737941681E-3</v>
      </c>
      <c r="H89" t="s">
        <v>42</v>
      </c>
      <c r="I89" t="s">
        <v>51</v>
      </c>
      <c r="J89" t="s">
        <v>1657</v>
      </c>
    </row>
    <row r="90" spans="1:10" x14ac:dyDescent="0.2">
      <c r="A90">
        <v>0</v>
      </c>
      <c r="B90">
        <v>1.2532394271458501E-6</v>
      </c>
      <c r="C90">
        <v>2</v>
      </c>
      <c r="D90">
        <v>1124</v>
      </c>
      <c r="E90" t="s">
        <v>29</v>
      </c>
      <c r="F90" t="s">
        <v>30</v>
      </c>
      <c r="G90">
        <v>1.7531029243731701E-4</v>
      </c>
      <c r="H90" t="s">
        <v>42</v>
      </c>
      <c r="I90" t="s">
        <v>51</v>
      </c>
      <c r="J90" t="s">
        <v>1650</v>
      </c>
    </row>
    <row r="91" spans="1:10" x14ac:dyDescent="0.2">
      <c r="A91">
        <v>0</v>
      </c>
      <c r="B91">
        <v>4.1651429765660201E-8</v>
      </c>
      <c r="C91">
        <v>3</v>
      </c>
      <c r="D91">
        <v>84</v>
      </c>
      <c r="E91" t="s">
        <v>232</v>
      </c>
      <c r="F91" t="s">
        <v>233</v>
      </c>
      <c r="G91">
        <v>1.2745337508291999E-5</v>
      </c>
      <c r="H91" t="s">
        <v>42</v>
      </c>
      <c r="I91" t="s">
        <v>51</v>
      </c>
      <c r="J91" t="s">
        <v>1650</v>
      </c>
    </row>
    <row r="92" spans="1:10" x14ac:dyDescent="0.2">
      <c r="A92">
        <v>0</v>
      </c>
      <c r="B92">
        <v>4.3955322696745903E-6</v>
      </c>
      <c r="C92">
        <v>2</v>
      </c>
      <c r="D92">
        <v>3746</v>
      </c>
      <c r="E92" t="s">
        <v>234</v>
      </c>
      <c r="F92" t="s">
        <v>235</v>
      </c>
      <c r="G92">
        <v>5.0047734865876303E-4</v>
      </c>
      <c r="H92" t="s">
        <v>42</v>
      </c>
      <c r="I92" t="s">
        <v>51</v>
      </c>
      <c r="J92" t="s">
        <v>1650</v>
      </c>
    </row>
    <row r="93" spans="1:10" x14ac:dyDescent="0.2">
      <c r="A93">
        <v>0</v>
      </c>
      <c r="B93">
        <v>1.07142333811967E-3</v>
      </c>
      <c r="C93">
        <v>2</v>
      </c>
      <c r="D93">
        <v>75</v>
      </c>
      <c r="E93" t="s">
        <v>236</v>
      </c>
      <c r="F93" t="s">
        <v>237</v>
      </c>
      <c r="G93">
        <v>4.2997448060933599E-2</v>
      </c>
      <c r="H93" t="s">
        <v>42</v>
      </c>
      <c r="I93" t="s">
        <v>51</v>
      </c>
      <c r="J93" t="s">
        <v>1650</v>
      </c>
    </row>
    <row r="94" spans="1:10" x14ac:dyDescent="0.2">
      <c r="A94">
        <v>0</v>
      </c>
      <c r="B94">
        <v>3.26475750106016E-6</v>
      </c>
      <c r="C94">
        <v>5</v>
      </c>
      <c r="D94">
        <v>253</v>
      </c>
      <c r="E94" t="s">
        <v>238</v>
      </c>
      <c r="F94" t="s">
        <v>239</v>
      </c>
      <c r="G94">
        <v>3.8985982256562298E-4</v>
      </c>
      <c r="H94" t="s">
        <v>42</v>
      </c>
      <c r="I94" t="s">
        <v>51</v>
      </c>
      <c r="J94" t="s">
        <v>1655</v>
      </c>
    </row>
    <row r="95" spans="1:10" x14ac:dyDescent="0.2">
      <c r="A95">
        <v>0</v>
      </c>
      <c r="B95">
        <v>2.79580770315231E-5</v>
      </c>
      <c r="C95">
        <v>2</v>
      </c>
      <c r="D95">
        <v>98</v>
      </c>
      <c r="E95" t="s">
        <v>240</v>
      </c>
      <c r="F95" t="s">
        <v>241</v>
      </c>
      <c r="G95">
        <v>2.6323604835834101E-3</v>
      </c>
      <c r="H95" t="s">
        <v>42</v>
      </c>
      <c r="I95" t="s">
        <v>51</v>
      </c>
      <c r="J95" t="s">
        <v>1650</v>
      </c>
    </row>
    <row r="96" spans="1:10" x14ac:dyDescent="0.2">
      <c r="A96">
        <v>0</v>
      </c>
      <c r="B96">
        <v>3.9825257374446302E-9</v>
      </c>
      <c r="C96">
        <v>6</v>
      </c>
      <c r="D96">
        <v>805</v>
      </c>
      <c r="E96" t="s">
        <v>88</v>
      </c>
      <c r="F96" t="s">
        <v>89</v>
      </c>
      <c r="G96">
        <v>1.9498446010528899E-6</v>
      </c>
      <c r="H96" t="s">
        <v>42</v>
      </c>
      <c r="I96" t="s">
        <v>51</v>
      </c>
      <c r="J96" t="s">
        <v>1650</v>
      </c>
    </row>
    <row r="97" spans="1:10" x14ac:dyDescent="0.2">
      <c r="A97">
        <v>0</v>
      </c>
      <c r="B97">
        <v>8.5257857471716293E-8</v>
      </c>
      <c r="C97">
        <v>2</v>
      </c>
      <c r="D97">
        <v>1391</v>
      </c>
      <c r="E97" t="s">
        <v>242</v>
      </c>
      <c r="F97" t="s">
        <v>243</v>
      </c>
      <c r="G97">
        <v>2.1635422546682901E-5</v>
      </c>
      <c r="H97" t="s">
        <v>42</v>
      </c>
      <c r="I97" t="s">
        <v>51</v>
      </c>
      <c r="J97" t="s">
        <v>1650</v>
      </c>
    </row>
    <row r="98" spans="1:10" x14ac:dyDescent="0.2">
      <c r="A98">
        <v>0</v>
      </c>
      <c r="B98">
        <v>1.8592033312973599E-4</v>
      </c>
      <c r="C98">
        <v>6</v>
      </c>
      <c r="D98">
        <v>196</v>
      </c>
      <c r="E98" t="s">
        <v>244</v>
      </c>
      <c r="F98" t="s">
        <v>245</v>
      </c>
      <c r="G98">
        <v>1.3181704415768001E-2</v>
      </c>
      <c r="H98" t="s">
        <v>42</v>
      </c>
      <c r="I98" t="s">
        <v>51</v>
      </c>
      <c r="J98" t="s">
        <v>1655</v>
      </c>
    </row>
    <row r="99" spans="1:10" x14ac:dyDescent="0.2">
      <c r="A99">
        <v>0</v>
      </c>
      <c r="B99">
        <v>2.6854341739460498E-5</v>
      </c>
      <c r="C99">
        <v>2</v>
      </c>
      <c r="D99">
        <v>709</v>
      </c>
      <c r="E99" t="s">
        <v>246</v>
      </c>
      <c r="F99" t="s">
        <v>247</v>
      </c>
      <c r="G99">
        <v>2.57801680698821E-3</v>
      </c>
      <c r="H99" t="s">
        <v>42</v>
      </c>
      <c r="I99" t="s">
        <v>51</v>
      </c>
      <c r="J99" t="s">
        <v>1650</v>
      </c>
    </row>
    <row r="100" spans="1:10" x14ac:dyDescent="0.2">
      <c r="A100">
        <v>0</v>
      </c>
      <c r="B100">
        <v>2.6556565394433E-4</v>
      </c>
      <c r="C100">
        <v>2</v>
      </c>
      <c r="D100">
        <v>52</v>
      </c>
      <c r="E100" t="s">
        <v>90</v>
      </c>
      <c r="F100" t="s">
        <v>91</v>
      </c>
      <c r="G100">
        <v>1.7108018969887399E-2</v>
      </c>
      <c r="H100" t="s">
        <v>42</v>
      </c>
      <c r="I100" t="s">
        <v>51</v>
      </c>
      <c r="J100" t="s">
        <v>1650</v>
      </c>
    </row>
    <row r="101" spans="1:10" x14ac:dyDescent="0.2">
      <c r="A101">
        <v>0</v>
      </c>
      <c r="B101">
        <v>3.8508890647966001E-4</v>
      </c>
      <c r="C101">
        <v>2</v>
      </c>
      <c r="D101">
        <v>24</v>
      </c>
      <c r="E101" t="s">
        <v>248</v>
      </c>
      <c r="F101" t="s">
        <v>249</v>
      </c>
      <c r="G101">
        <v>2.11842166980271E-2</v>
      </c>
      <c r="H101" t="s">
        <v>42</v>
      </c>
      <c r="I101" t="s">
        <v>51</v>
      </c>
      <c r="J101" t="s">
        <v>1650</v>
      </c>
    </row>
    <row r="102" spans="1:10" x14ac:dyDescent="0.2">
      <c r="A102">
        <v>0</v>
      </c>
      <c r="B102">
        <v>1.7601009167555201E-7</v>
      </c>
      <c r="C102">
        <v>2</v>
      </c>
      <c r="D102">
        <v>999</v>
      </c>
      <c r="E102" t="s">
        <v>92</v>
      </c>
      <c r="F102" t="s">
        <v>93</v>
      </c>
      <c r="G102">
        <v>3.7467191688847899E-5</v>
      </c>
      <c r="H102" t="s">
        <v>42</v>
      </c>
      <c r="I102" t="s">
        <v>51</v>
      </c>
      <c r="J102" t="s">
        <v>1650</v>
      </c>
    </row>
    <row r="103" spans="1:10" x14ac:dyDescent="0.2">
      <c r="A103">
        <v>0</v>
      </c>
      <c r="B103">
        <v>1.20187315249246E-4</v>
      </c>
      <c r="C103">
        <v>2</v>
      </c>
      <c r="D103">
        <v>80</v>
      </c>
      <c r="E103" t="s">
        <v>250</v>
      </c>
      <c r="F103" t="s">
        <v>251</v>
      </c>
      <c r="G103">
        <v>9.0528783916970501E-3</v>
      </c>
      <c r="H103" t="s">
        <v>42</v>
      </c>
      <c r="I103" t="s">
        <v>51</v>
      </c>
      <c r="J103" t="s">
        <v>1650</v>
      </c>
    </row>
    <row r="104" spans="1:10" x14ac:dyDescent="0.2">
      <c r="A104">
        <v>0</v>
      </c>
      <c r="B104">
        <v>9.6713984037956802E-4</v>
      </c>
      <c r="C104">
        <v>3</v>
      </c>
      <c r="D104">
        <v>1537</v>
      </c>
      <c r="E104" t="s">
        <v>252</v>
      </c>
      <c r="F104" t="s">
        <v>253</v>
      </c>
      <c r="G104">
        <v>4.0471082551268099E-2</v>
      </c>
      <c r="H104" t="s">
        <v>42</v>
      </c>
      <c r="I104" t="s">
        <v>51</v>
      </c>
      <c r="J104" t="s">
        <v>1650</v>
      </c>
    </row>
    <row r="105" spans="1:10" x14ac:dyDescent="0.2">
      <c r="A105">
        <v>0</v>
      </c>
      <c r="B105">
        <v>1.9546498172169499E-10</v>
      </c>
      <c r="C105">
        <v>3</v>
      </c>
      <c r="D105">
        <v>3714</v>
      </c>
      <c r="E105" t="s">
        <v>94</v>
      </c>
      <c r="F105" t="s">
        <v>95</v>
      </c>
      <c r="G105">
        <v>1.1962456881367701E-7</v>
      </c>
      <c r="H105" t="s">
        <v>42</v>
      </c>
      <c r="I105" t="s">
        <v>51</v>
      </c>
      <c r="J105" t="s">
        <v>1650</v>
      </c>
    </row>
    <row r="106" spans="1:10" x14ac:dyDescent="0.2">
      <c r="A106">
        <v>0</v>
      </c>
      <c r="B106">
        <v>8.2721309985011595E-4</v>
      </c>
      <c r="C106">
        <v>2</v>
      </c>
      <c r="D106">
        <v>70</v>
      </c>
      <c r="E106" t="s">
        <v>254</v>
      </c>
      <c r="F106" t="s">
        <v>255</v>
      </c>
      <c r="G106">
        <v>3.7251386433728502E-2</v>
      </c>
      <c r="H106" t="s">
        <v>42</v>
      </c>
      <c r="I106" t="s">
        <v>51</v>
      </c>
      <c r="J106" t="s">
        <v>1657</v>
      </c>
    </row>
    <row r="107" spans="1:10" x14ac:dyDescent="0.2">
      <c r="A107">
        <v>0</v>
      </c>
      <c r="B107">
        <v>5.73900208535472E-4</v>
      </c>
      <c r="C107">
        <v>2</v>
      </c>
      <c r="D107">
        <v>2166</v>
      </c>
      <c r="E107" t="s">
        <v>256</v>
      </c>
      <c r="F107" t="s">
        <v>257</v>
      </c>
      <c r="G107">
        <v>2.8671585928466001E-2</v>
      </c>
      <c r="H107" t="s">
        <v>42</v>
      </c>
      <c r="I107" t="s">
        <v>51</v>
      </c>
      <c r="J107" t="s">
        <v>1650</v>
      </c>
    </row>
    <row r="108" spans="1:10" x14ac:dyDescent="0.2">
      <c r="A108">
        <v>0</v>
      </c>
      <c r="B108">
        <v>4.1595123904753699E-4</v>
      </c>
      <c r="C108">
        <v>2</v>
      </c>
      <c r="D108">
        <v>718</v>
      </c>
      <c r="E108" t="s">
        <v>258</v>
      </c>
      <c r="F108" t="s">
        <v>259</v>
      </c>
      <c r="G108">
        <v>2.23790908393048E-2</v>
      </c>
      <c r="H108" t="s">
        <v>42</v>
      </c>
      <c r="I108" t="s">
        <v>51</v>
      </c>
      <c r="J108" t="s">
        <v>1650</v>
      </c>
    </row>
    <row r="109" spans="1:10" x14ac:dyDescent="0.2">
      <c r="A109">
        <v>0</v>
      </c>
      <c r="B109">
        <v>7.8357257326052299E-4</v>
      </c>
      <c r="C109">
        <v>2</v>
      </c>
      <c r="D109">
        <v>69</v>
      </c>
      <c r="E109" t="s">
        <v>260</v>
      </c>
      <c r="F109" t="s">
        <v>261</v>
      </c>
      <c r="G109">
        <v>3.6536869701747798E-2</v>
      </c>
      <c r="H109" t="s">
        <v>42</v>
      </c>
      <c r="I109" t="s">
        <v>51</v>
      </c>
      <c r="J109" t="s">
        <v>1650</v>
      </c>
    </row>
    <row r="110" spans="1:10" x14ac:dyDescent="0.2">
      <c r="A110">
        <v>0</v>
      </c>
      <c r="B110">
        <v>7.9341900627536495E-5</v>
      </c>
      <c r="C110">
        <v>5</v>
      </c>
      <c r="D110">
        <v>522</v>
      </c>
      <c r="E110" t="s">
        <v>262</v>
      </c>
      <c r="F110" t="s">
        <v>263</v>
      </c>
      <c r="G110">
        <v>6.2654507334261103E-3</v>
      </c>
      <c r="H110" t="s">
        <v>42</v>
      </c>
      <c r="I110" t="s">
        <v>51</v>
      </c>
      <c r="J110" t="s">
        <v>1650</v>
      </c>
    </row>
    <row r="111" spans="1:10" x14ac:dyDescent="0.2">
      <c r="A111">
        <v>0</v>
      </c>
      <c r="B111">
        <v>4.3550500186699698E-5</v>
      </c>
      <c r="C111">
        <v>5</v>
      </c>
      <c r="D111">
        <v>106</v>
      </c>
      <c r="E111" t="s">
        <v>264</v>
      </c>
      <c r="F111" t="s">
        <v>265</v>
      </c>
      <c r="G111">
        <v>3.67626291231175E-3</v>
      </c>
      <c r="H111" t="s">
        <v>42</v>
      </c>
      <c r="I111" t="s">
        <v>51</v>
      </c>
      <c r="J111" t="s">
        <v>1650</v>
      </c>
    </row>
    <row r="112" spans="1:10" x14ac:dyDescent="0.2">
      <c r="A112">
        <v>0</v>
      </c>
      <c r="B112">
        <v>1.06385283987618E-8</v>
      </c>
      <c r="C112">
        <v>2</v>
      </c>
      <c r="D112">
        <v>322</v>
      </c>
      <c r="E112" t="s">
        <v>266</v>
      </c>
      <c r="F112" t="s">
        <v>267</v>
      </c>
      <c r="G112">
        <v>4.34051958669481E-6</v>
      </c>
      <c r="H112" t="s">
        <v>42</v>
      </c>
      <c r="I112" t="s">
        <v>51</v>
      </c>
      <c r="J112" t="s">
        <v>1650</v>
      </c>
    </row>
    <row r="113" spans="1:10" x14ac:dyDescent="0.2">
      <c r="A113">
        <v>0</v>
      </c>
      <c r="B113">
        <v>3.4027381380784399E-8</v>
      </c>
      <c r="C113">
        <v>2</v>
      </c>
      <c r="D113">
        <v>54</v>
      </c>
      <c r="E113" t="s">
        <v>268</v>
      </c>
      <c r="F113" t="s">
        <v>269</v>
      </c>
      <c r="G113">
        <v>1.1106537282688001E-5</v>
      </c>
      <c r="H113" t="s">
        <v>42</v>
      </c>
      <c r="I113" t="s">
        <v>51</v>
      </c>
      <c r="J113" t="s">
        <v>1650</v>
      </c>
    </row>
    <row r="114" spans="1:10" x14ac:dyDescent="0.2">
      <c r="A114">
        <v>0</v>
      </c>
      <c r="B114">
        <v>1.01763023537574E-5</v>
      </c>
      <c r="C114">
        <v>3</v>
      </c>
      <c r="D114">
        <v>288</v>
      </c>
      <c r="E114" t="s">
        <v>270</v>
      </c>
      <c r="F114" t="s">
        <v>271</v>
      </c>
      <c r="G114">
        <v>1.0831125287825299E-3</v>
      </c>
      <c r="H114" t="s">
        <v>42</v>
      </c>
      <c r="I114" t="s">
        <v>51</v>
      </c>
      <c r="J114" t="s">
        <v>1650</v>
      </c>
    </row>
    <row r="115" spans="1:10" x14ac:dyDescent="0.2">
      <c r="A115">
        <v>0</v>
      </c>
      <c r="B115">
        <v>4.7889466680681297E-8</v>
      </c>
      <c r="C115">
        <v>2</v>
      </c>
      <c r="D115">
        <v>1534</v>
      </c>
      <c r="E115" t="s">
        <v>272</v>
      </c>
      <c r="F115" t="s">
        <v>273</v>
      </c>
      <c r="G115">
        <v>1.37921664040362E-5</v>
      </c>
      <c r="H115" t="s">
        <v>42</v>
      </c>
      <c r="I115" t="s">
        <v>51</v>
      </c>
      <c r="J115" t="s">
        <v>1650</v>
      </c>
    </row>
    <row r="116" spans="1:10" x14ac:dyDescent="0.2">
      <c r="A116">
        <v>0</v>
      </c>
      <c r="B116">
        <v>1.21418642302477E-5</v>
      </c>
      <c r="C116">
        <v>3</v>
      </c>
      <c r="D116">
        <v>1497</v>
      </c>
      <c r="E116" t="s">
        <v>274</v>
      </c>
      <c r="F116" t="s">
        <v>275</v>
      </c>
      <c r="G116">
        <v>1.2384701514852701E-3</v>
      </c>
      <c r="H116" t="s">
        <v>42</v>
      </c>
      <c r="I116" t="s">
        <v>51</v>
      </c>
      <c r="J116" t="s">
        <v>1650</v>
      </c>
    </row>
    <row r="117" spans="1:10" x14ac:dyDescent="0.2">
      <c r="A117">
        <v>0</v>
      </c>
      <c r="B117">
        <v>2.1616802851878401E-5</v>
      </c>
      <c r="C117">
        <v>2</v>
      </c>
      <c r="D117">
        <v>2772</v>
      </c>
      <c r="E117" t="s">
        <v>98</v>
      </c>
      <c r="F117" t="s">
        <v>99</v>
      </c>
      <c r="G117">
        <v>2.1599156482203399E-3</v>
      </c>
      <c r="H117" t="s">
        <v>42</v>
      </c>
      <c r="I117" t="s">
        <v>51</v>
      </c>
      <c r="J117" t="s">
        <v>1650</v>
      </c>
    </row>
    <row r="118" spans="1:10" x14ac:dyDescent="0.2">
      <c r="A118">
        <v>0</v>
      </c>
      <c r="B118">
        <v>6.7244971033954896E-7</v>
      </c>
      <c r="C118">
        <v>3</v>
      </c>
      <c r="D118">
        <v>995</v>
      </c>
      <c r="E118" t="s">
        <v>276</v>
      </c>
      <c r="F118" t="s">
        <v>277</v>
      </c>
      <c r="G118">
        <v>1.02884805681951E-4</v>
      </c>
      <c r="H118" t="s">
        <v>42</v>
      </c>
      <c r="I118" t="s">
        <v>51</v>
      </c>
      <c r="J118" t="s">
        <v>1655</v>
      </c>
    </row>
    <row r="119" spans="1:10" x14ac:dyDescent="0.2">
      <c r="A119">
        <v>0</v>
      </c>
      <c r="B119">
        <v>3.7856731126135502E-4</v>
      </c>
      <c r="C119">
        <v>2</v>
      </c>
      <c r="D119">
        <v>57</v>
      </c>
      <c r="E119" t="s">
        <v>278</v>
      </c>
      <c r="F119" t="s">
        <v>279</v>
      </c>
      <c r="G119">
        <v>2.11842166980271E-2</v>
      </c>
      <c r="H119" t="s">
        <v>42</v>
      </c>
      <c r="I119" t="s">
        <v>51</v>
      </c>
      <c r="J119" t="s">
        <v>1650</v>
      </c>
    </row>
    <row r="120" spans="1:10" x14ac:dyDescent="0.2">
      <c r="A120">
        <v>0</v>
      </c>
      <c r="B120">
        <v>4.1421443166482698E-6</v>
      </c>
      <c r="C120">
        <v>2</v>
      </c>
      <c r="D120">
        <v>1306</v>
      </c>
      <c r="E120" t="s">
        <v>280</v>
      </c>
      <c r="F120" t="s">
        <v>281</v>
      </c>
      <c r="G120">
        <v>4.8285568034071299E-4</v>
      </c>
      <c r="H120" t="s">
        <v>42</v>
      </c>
      <c r="I120" t="s">
        <v>51</v>
      </c>
      <c r="J120" t="s">
        <v>1650</v>
      </c>
    </row>
    <row r="121" spans="1:10" x14ac:dyDescent="0.2">
      <c r="A121">
        <v>0</v>
      </c>
      <c r="B121">
        <v>4.69363518620314E-4</v>
      </c>
      <c r="C121">
        <v>2</v>
      </c>
      <c r="D121">
        <v>2256</v>
      </c>
      <c r="E121" t="s">
        <v>282</v>
      </c>
      <c r="F121" t="s">
        <v>283</v>
      </c>
      <c r="G121">
        <v>2.4709718141559801E-2</v>
      </c>
      <c r="H121" t="s">
        <v>42</v>
      </c>
      <c r="I121" t="s">
        <v>51</v>
      </c>
      <c r="J121" t="s">
        <v>1650</v>
      </c>
    </row>
    <row r="122" spans="1:10" x14ac:dyDescent="0.2">
      <c r="A122">
        <v>0</v>
      </c>
      <c r="B122">
        <v>9.6618138234403803E-4</v>
      </c>
      <c r="C122">
        <v>3</v>
      </c>
      <c r="D122">
        <v>8</v>
      </c>
      <c r="E122" t="s">
        <v>284</v>
      </c>
      <c r="F122" t="s">
        <v>285</v>
      </c>
      <c r="G122">
        <v>4.0471082551268099E-2</v>
      </c>
      <c r="H122" t="s">
        <v>42</v>
      </c>
      <c r="I122" t="s">
        <v>51</v>
      </c>
      <c r="J122" t="s">
        <v>1655</v>
      </c>
    </row>
    <row r="123" spans="1:10" x14ac:dyDescent="0.2">
      <c r="A123">
        <v>0</v>
      </c>
      <c r="B123">
        <v>8.2933029437835001E-4</v>
      </c>
      <c r="C123">
        <v>2</v>
      </c>
      <c r="D123">
        <v>31</v>
      </c>
      <c r="E123" t="s">
        <v>286</v>
      </c>
      <c r="F123" t="s">
        <v>287</v>
      </c>
      <c r="G123">
        <v>3.7251386433728502E-2</v>
      </c>
      <c r="H123" t="s">
        <v>42</v>
      </c>
      <c r="I123" t="s">
        <v>51</v>
      </c>
      <c r="J123" t="s">
        <v>1650</v>
      </c>
    </row>
    <row r="124" spans="1:10" x14ac:dyDescent="0.2">
      <c r="A124">
        <v>0</v>
      </c>
      <c r="B124">
        <v>3.0594112223087202E-4</v>
      </c>
      <c r="C124">
        <v>3</v>
      </c>
      <c r="D124">
        <v>695</v>
      </c>
      <c r="E124" t="s">
        <v>37</v>
      </c>
      <c r="F124" t="s">
        <v>38</v>
      </c>
      <c r="G124">
        <v>1.8723596680529399E-2</v>
      </c>
      <c r="H124" t="s">
        <v>42</v>
      </c>
      <c r="I124" t="s">
        <v>51</v>
      </c>
      <c r="J124" t="s">
        <v>1650</v>
      </c>
    </row>
    <row r="125" spans="1:10" x14ac:dyDescent="0.2">
      <c r="A125">
        <v>0</v>
      </c>
      <c r="B125">
        <v>8.4659417066547198E-4</v>
      </c>
      <c r="C125">
        <v>3</v>
      </c>
      <c r="D125">
        <v>122</v>
      </c>
      <c r="E125" t="s">
        <v>288</v>
      </c>
      <c r="F125" t="s">
        <v>289</v>
      </c>
      <c r="G125">
        <v>3.73416672034068E-2</v>
      </c>
      <c r="H125" t="s">
        <v>42</v>
      </c>
      <c r="I125" t="s">
        <v>51</v>
      </c>
      <c r="J125" t="s">
        <v>1650</v>
      </c>
    </row>
    <row r="126" spans="1:10" x14ac:dyDescent="0.2">
      <c r="A126">
        <v>0</v>
      </c>
      <c r="B126">
        <v>9.78473991937532E-4</v>
      </c>
      <c r="C126">
        <v>6</v>
      </c>
      <c r="D126">
        <v>126</v>
      </c>
      <c r="E126" t="s">
        <v>290</v>
      </c>
      <c r="F126" t="s">
        <v>291</v>
      </c>
      <c r="G126">
        <v>4.0598378512933499E-2</v>
      </c>
      <c r="H126" t="s">
        <v>42</v>
      </c>
      <c r="I126" t="s">
        <v>51</v>
      </c>
      <c r="J126" t="s">
        <v>1650</v>
      </c>
    </row>
    <row r="127" spans="1:10" x14ac:dyDescent="0.2">
      <c r="A127">
        <v>0</v>
      </c>
      <c r="B127">
        <v>5.1413636181767203E-5</v>
      </c>
      <c r="C127">
        <v>2</v>
      </c>
      <c r="D127">
        <v>67</v>
      </c>
      <c r="E127" t="s">
        <v>292</v>
      </c>
      <c r="F127" t="s">
        <v>293</v>
      </c>
      <c r="G127">
        <v>4.2664603855242797E-3</v>
      </c>
      <c r="H127" t="s">
        <v>42</v>
      </c>
      <c r="I127" t="s">
        <v>51</v>
      </c>
      <c r="J127" t="s">
        <v>1650</v>
      </c>
    </row>
    <row r="128" spans="1:10" x14ac:dyDescent="0.2">
      <c r="A128">
        <v>0</v>
      </c>
      <c r="B128">
        <v>1.7908995199123799E-4</v>
      </c>
      <c r="C128">
        <v>2</v>
      </c>
      <c r="D128">
        <v>47</v>
      </c>
      <c r="E128" t="s">
        <v>294</v>
      </c>
      <c r="F128" t="s">
        <v>295</v>
      </c>
      <c r="G128">
        <v>1.28944765433691E-2</v>
      </c>
      <c r="H128" t="s">
        <v>42</v>
      </c>
      <c r="I128" t="s">
        <v>51</v>
      </c>
      <c r="J128" t="s">
        <v>1650</v>
      </c>
    </row>
    <row r="129" spans="1:10" x14ac:dyDescent="0.2">
      <c r="A129">
        <v>0</v>
      </c>
      <c r="B129">
        <v>2.7140756766226601E-6</v>
      </c>
      <c r="C129">
        <v>2</v>
      </c>
      <c r="D129">
        <v>307</v>
      </c>
      <c r="E129" t="s">
        <v>296</v>
      </c>
      <c r="F129" t="s">
        <v>297</v>
      </c>
      <c r="G129">
        <v>3.3666639637149498E-4</v>
      </c>
      <c r="H129" t="s">
        <v>42</v>
      </c>
      <c r="I129" t="s">
        <v>51</v>
      </c>
      <c r="J129" t="s">
        <v>1655</v>
      </c>
    </row>
    <row r="130" spans="1:10" x14ac:dyDescent="0.2">
      <c r="A130">
        <v>0</v>
      </c>
      <c r="B130">
        <v>7.9994813941859994E-6</v>
      </c>
      <c r="C130">
        <v>6</v>
      </c>
      <c r="D130">
        <v>221</v>
      </c>
      <c r="E130" t="s">
        <v>298</v>
      </c>
      <c r="F130" t="s">
        <v>299</v>
      </c>
      <c r="G130">
        <v>8.7034357568743705E-4</v>
      </c>
      <c r="H130" t="s">
        <v>42</v>
      </c>
      <c r="I130" t="s">
        <v>51</v>
      </c>
      <c r="J130" t="s">
        <v>1655</v>
      </c>
    </row>
    <row r="131" spans="1:10" x14ac:dyDescent="0.2">
      <c r="A131">
        <v>0</v>
      </c>
      <c r="B131">
        <v>3.7048755998317599E-5</v>
      </c>
      <c r="C131">
        <v>4</v>
      </c>
      <c r="D131">
        <v>103</v>
      </c>
      <c r="E131" t="s">
        <v>300</v>
      </c>
      <c r="F131" t="s">
        <v>301</v>
      </c>
      <c r="G131">
        <v>3.1822931468028599E-3</v>
      </c>
      <c r="H131" t="s">
        <v>42</v>
      </c>
      <c r="I131" t="s">
        <v>51</v>
      </c>
      <c r="J131" t="s">
        <v>1655</v>
      </c>
    </row>
    <row r="132" spans="1:10" x14ac:dyDescent="0.2">
      <c r="A132">
        <v>0</v>
      </c>
      <c r="B132">
        <v>2.7348485843654797E-4</v>
      </c>
      <c r="C132">
        <v>3</v>
      </c>
      <c r="D132">
        <v>597</v>
      </c>
      <c r="E132" t="s">
        <v>302</v>
      </c>
      <c r="F132" t="s">
        <v>303</v>
      </c>
      <c r="G132">
        <v>1.73893748948745E-2</v>
      </c>
      <c r="H132" t="s">
        <v>42</v>
      </c>
      <c r="I132" t="s">
        <v>51</v>
      </c>
      <c r="J132" t="s">
        <v>1655</v>
      </c>
    </row>
    <row r="133" spans="1:10" x14ac:dyDescent="0.2">
      <c r="A133">
        <v>0</v>
      </c>
      <c r="B133">
        <v>5.88754168348594E-4</v>
      </c>
      <c r="C133">
        <v>4</v>
      </c>
      <c r="D133">
        <v>171</v>
      </c>
      <c r="E133" t="s">
        <v>39</v>
      </c>
      <c r="F133" t="s">
        <v>40</v>
      </c>
      <c r="G133">
        <v>2.91165697801486E-2</v>
      </c>
      <c r="H133" t="s">
        <v>42</v>
      </c>
      <c r="I133" t="s">
        <v>51</v>
      </c>
      <c r="J133" t="s">
        <v>1658</v>
      </c>
    </row>
    <row r="134" spans="1:10" x14ac:dyDescent="0.2">
      <c r="A134">
        <v>0</v>
      </c>
      <c r="B134">
        <v>1.0279038940431299E-6</v>
      </c>
      <c r="C134">
        <v>3</v>
      </c>
      <c r="D134">
        <v>172</v>
      </c>
      <c r="E134" t="s">
        <v>304</v>
      </c>
      <c r="F134" t="s">
        <v>305</v>
      </c>
      <c r="G134">
        <v>1.5250355955258099E-4</v>
      </c>
      <c r="H134" t="s">
        <v>42</v>
      </c>
      <c r="I134" t="s">
        <v>51</v>
      </c>
      <c r="J134" t="s">
        <v>1650</v>
      </c>
    </row>
    <row r="135" spans="1:10" x14ac:dyDescent="0.2">
      <c r="A135">
        <v>0</v>
      </c>
      <c r="B135">
        <v>2.12761461566542E-7</v>
      </c>
      <c r="C135">
        <v>2</v>
      </c>
      <c r="D135">
        <v>43</v>
      </c>
      <c r="E135" t="s">
        <v>102</v>
      </c>
      <c r="F135" t="s">
        <v>103</v>
      </c>
      <c r="G135">
        <v>4.3403338159574599E-5</v>
      </c>
      <c r="H135" t="s">
        <v>42</v>
      </c>
      <c r="I135" t="s">
        <v>51</v>
      </c>
      <c r="J135" t="s">
        <v>1650</v>
      </c>
    </row>
    <row r="136" spans="1:10" x14ac:dyDescent="0.2">
      <c r="A136">
        <v>0</v>
      </c>
      <c r="B136">
        <v>1.23735495720822E-3</v>
      </c>
      <c r="C136">
        <v>6</v>
      </c>
      <c r="D136">
        <v>9</v>
      </c>
      <c r="E136" t="s">
        <v>306</v>
      </c>
      <c r="F136" t="s">
        <v>307</v>
      </c>
      <c r="G136">
        <v>4.8080078337233698E-2</v>
      </c>
      <c r="H136" t="s">
        <v>42</v>
      </c>
      <c r="I136" t="s">
        <v>51</v>
      </c>
      <c r="J136" t="s">
        <v>1650</v>
      </c>
    </row>
    <row r="137" spans="1:10" x14ac:dyDescent="0.2">
      <c r="A137">
        <v>0</v>
      </c>
      <c r="B137">
        <v>1.23996129492211E-4</v>
      </c>
      <c r="C137">
        <v>3</v>
      </c>
      <c r="D137">
        <v>1204</v>
      </c>
      <c r="E137" t="s">
        <v>308</v>
      </c>
      <c r="F137" t="s">
        <v>309</v>
      </c>
      <c r="G137">
        <v>9.1982583332403806E-3</v>
      </c>
      <c r="H137" t="s">
        <v>42</v>
      </c>
      <c r="I137" t="s">
        <v>51</v>
      </c>
      <c r="J137" t="s">
        <v>1650</v>
      </c>
    </row>
    <row r="138" spans="1:10" x14ac:dyDescent="0.2">
      <c r="A138">
        <v>0</v>
      </c>
      <c r="B138">
        <v>1.07126558119311E-4</v>
      </c>
      <c r="C138">
        <v>6</v>
      </c>
      <c r="D138">
        <v>539</v>
      </c>
      <c r="E138" t="s">
        <v>104</v>
      </c>
      <c r="F138" t="s">
        <v>105</v>
      </c>
      <c r="G138">
        <v>8.1951816961272905E-3</v>
      </c>
      <c r="H138" t="s">
        <v>42</v>
      </c>
      <c r="I138" t="s">
        <v>51</v>
      </c>
      <c r="J138" t="s">
        <v>1650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1BE3F-F48F-764E-AB16-EC7E165260E2}">
  <sheetPr codeName="Sheet4"/>
  <dimension ref="A1:J41"/>
  <sheetViews>
    <sheetView topLeftCell="A22" zoomScale="157" workbookViewId="0">
      <selection activeCell="F33" sqref="F33"/>
    </sheetView>
  </sheetViews>
  <sheetFormatPr baseColWidth="10" defaultRowHeight="16" x14ac:dyDescent="0.2"/>
  <cols>
    <col min="5" max="5" width="10.83203125" customWidth="1"/>
  </cols>
  <sheetData>
    <row r="1" spans="1:10" x14ac:dyDescent="0.2">
      <c r="A1" t="s">
        <v>310</v>
      </c>
    </row>
    <row r="2" spans="1:10" x14ac:dyDescent="0.2">
      <c r="A2" t="s">
        <v>45</v>
      </c>
    </row>
    <row r="3" spans="1:10" x14ac:dyDescent="0.2">
      <c r="A3" t="s">
        <v>46</v>
      </c>
    </row>
    <row r="4" spans="1:10" x14ac:dyDescent="0.2">
      <c r="A4" t="s">
        <v>47</v>
      </c>
    </row>
    <row r="5" spans="1:10" x14ac:dyDescent="0.2">
      <c r="A5" t="s">
        <v>48</v>
      </c>
    </row>
    <row r="6" spans="1:10" x14ac:dyDescent="0.2">
      <c r="A6" t="s">
        <v>49</v>
      </c>
    </row>
    <row r="7" spans="1:10" x14ac:dyDescent="0.2">
      <c r="A7" t="s">
        <v>44</v>
      </c>
    </row>
    <row r="8" spans="1:10" x14ac:dyDescent="0.2">
      <c r="A8" t="s">
        <v>43</v>
      </c>
    </row>
    <row r="9" spans="1:10" x14ac:dyDescent="0.2">
      <c r="A9" t="s">
        <v>52</v>
      </c>
    </row>
    <row r="10" spans="1:10" ht="17" thickBot="1" x14ac:dyDescent="0.25">
      <c r="A10" t="s">
        <v>1661</v>
      </c>
    </row>
    <row r="11" spans="1:10" ht="17" thickBot="1" x14ac:dyDescent="0.25">
      <c r="A11" s="2" t="s">
        <v>0</v>
      </c>
      <c r="B11" s="2" t="s">
        <v>1</v>
      </c>
      <c r="C11" s="2" t="s">
        <v>2</v>
      </c>
      <c r="D11" s="2" t="s">
        <v>3</v>
      </c>
      <c r="E11" s="2" t="s">
        <v>4</v>
      </c>
      <c r="F11" s="2" t="s">
        <v>5</v>
      </c>
      <c r="G11" s="2" t="s">
        <v>6</v>
      </c>
      <c r="H11" s="2" t="s">
        <v>41</v>
      </c>
      <c r="I11" s="2" t="s">
        <v>50</v>
      </c>
      <c r="J11" s="11" t="s">
        <v>1647</v>
      </c>
    </row>
    <row r="12" spans="1:10" x14ac:dyDescent="0.2">
      <c r="A12">
        <v>0</v>
      </c>
      <c r="B12">
        <v>5.0967573110915999E-5</v>
      </c>
      <c r="C12">
        <v>7</v>
      </c>
      <c r="D12">
        <v>125</v>
      </c>
      <c r="E12" t="s">
        <v>311</v>
      </c>
      <c r="F12" t="s">
        <v>312</v>
      </c>
      <c r="G12">
        <v>2.0512916674621899E-2</v>
      </c>
      <c r="H12" t="s">
        <v>42</v>
      </c>
      <c r="I12" t="s">
        <v>51</v>
      </c>
      <c r="J12" t="s">
        <v>1650</v>
      </c>
    </row>
    <row r="13" spans="1:10" x14ac:dyDescent="0.2">
      <c r="A13">
        <v>0</v>
      </c>
      <c r="B13" s="1">
        <v>2.56349016516903E-6</v>
      </c>
      <c r="C13">
        <v>2</v>
      </c>
      <c r="D13">
        <v>193</v>
      </c>
      <c r="E13" t="s">
        <v>313</v>
      </c>
      <c r="F13" t="s">
        <v>314</v>
      </c>
      <c r="G13">
        <v>1.3945386498519501E-3</v>
      </c>
      <c r="H13" t="s">
        <v>42</v>
      </c>
      <c r="I13" t="s">
        <v>51</v>
      </c>
      <c r="J13" t="s">
        <v>1650</v>
      </c>
    </row>
    <row r="14" spans="1:10" x14ac:dyDescent="0.2">
      <c r="A14">
        <v>0</v>
      </c>
      <c r="B14" s="1">
        <v>1.3458169429423199E-4</v>
      </c>
      <c r="C14">
        <v>5</v>
      </c>
      <c r="D14">
        <v>3445</v>
      </c>
      <c r="E14" t="s">
        <v>64</v>
      </c>
      <c r="F14" t="s">
        <v>65</v>
      </c>
      <c r="G14">
        <v>3.13767607268838E-2</v>
      </c>
      <c r="H14" t="s">
        <v>42</v>
      </c>
      <c r="I14" t="s">
        <v>51</v>
      </c>
      <c r="J14" t="s">
        <v>1650</v>
      </c>
    </row>
    <row r="15" spans="1:10" x14ac:dyDescent="0.2">
      <c r="A15">
        <v>0</v>
      </c>
      <c r="B15" s="1">
        <v>2.7289342557787E-4</v>
      </c>
      <c r="C15">
        <v>7</v>
      </c>
      <c r="D15">
        <v>1083</v>
      </c>
      <c r="E15" t="s">
        <v>66</v>
      </c>
      <c r="F15" t="s">
        <v>67</v>
      </c>
      <c r="G15">
        <v>4.6212567337585699E-2</v>
      </c>
      <c r="H15" t="s">
        <v>42</v>
      </c>
      <c r="I15" t="s">
        <v>51</v>
      </c>
      <c r="J15" t="s">
        <v>1650</v>
      </c>
    </row>
    <row r="16" spans="1:10" x14ac:dyDescent="0.2">
      <c r="A16">
        <v>0</v>
      </c>
      <c r="B16" s="1">
        <v>2.56349016516903E-6</v>
      </c>
      <c r="C16">
        <v>3</v>
      </c>
      <c r="D16">
        <v>193</v>
      </c>
      <c r="E16" t="s">
        <v>315</v>
      </c>
      <c r="F16" t="s">
        <v>316</v>
      </c>
      <c r="G16">
        <v>1.3945386498519501E-3</v>
      </c>
      <c r="H16" t="s">
        <v>42</v>
      </c>
      <c r="I16" t="s">
        <v>51</v>
      </c>
      <c r="J16" t="s">
        <v>1650</v>
      </c>
    </row>
    <row r="17" spans="1:10" x14ac:dyDescent="0.2">
      <c r="A17">
        <v>0</v>
      </c>
      <c r="B17" s="1">
        <v>1.14476691398023E-10</v>
      </c>
      <c r="C17">
        <v>3</v>
      </c>
      <c r="D17">
        <v>677</v>
      </c>
      <c r="E17" t="s">
        <v>124</v>
      </c>
      <c r="F17" t="s">
        <v>125</v>
      </c>
      <c r="G17">
        <v>2.8023894054236001E-7</v>
      </c>
      <c r="H17" t="s">
        <v>42</v>
      </c>
      <c r="I17" t="s">
        <v>51</v>
      </c>
      <c r="J17" t="s">
        <v>1650</v>
      </c>
    </row>
    <row r="18" spans="1:10" x14ac:dyDescent="0.2">
      <c r="A18">
        <v>0</v>
      </c>
      <c r="B18" s="1">
        <v>5.5832140914245001E-11</v>
      </c>
      <c r="C18">
        <v>2</v>
      </c>
      <c r="D18">
        <v>138</v>
      </c>
      <c r="E18" t="s">
        <v>9</v>
      </c>
      <c r="F18" t="s">
        <v>10</v>
      </c>
      <c r="G18">
        <v>2.7335416191614401E-7</v>
      </c>
      <c r="H18" t="s">
        <v>42</v>
      </c>
      <c r="I18" t="s">
        <v>51</v>
      </c>
      <c r="J18" t="s">
        <v>1650</v>
      </c>
    </row>
    <row r="19" spans="1:10" x14ac:dyDescent="0.2">
      <c r="A19">
        <v>0</v>
      </c>
      <c r="B19" s="1">
        <v>2.2503507944252699E-7</v>
      </c>
      <c r="C19">
        <v>2</v>
      </c>
      <c r="D19">
        <v>2777</v>
      </c>
      <c r="E19" t="s">
        <v>11</v>
      </c>
      <c r="F19" t="s">
        <v>12</v>
      </c>
      <c r="G19">
        <v>1.83628624825102E-4</v>
      </c>
      <c r="H19" t="s">
        <v>42</v>
      </c>
      <c r="I19" t="s">
        <v>51</v>
      </c>
      <c r="J19" t="s">
        <v>1650</v>
      </c>
    </row>
    <row r="20" spans="1:10" x14ac:dyDescent="0.2">
      <c r="A20">
        <v>0</v>
      </c>
      <c r="B20" s="1">
        <v>5.4466486268399702E-5</v>
      </c>
      <c r="C20">
        <v>3</v>
      </c>
      <c r="D20">
        <v>732</v>
      </c>
      <c r="E20" t="s">
        <v>138</v>
      </c>
      <c r="F20" t="s">
        <v>139</v>
      </c>
      <c r="G20">
        <v>2.0512916674621899E-2</v>
      </c>
      <c r="H20" t="s">
        <v>42</v>
      </c>
      <c r="I20" t="s">
        <v>51</v>
      </c>
      <c r="J20" t="s">
        <v>1650</v>
      </c>
    </row>
    <row r="21" spans="1:10" x14ac:dyDescent="0.2">
      <c r="A21">
        <v>0</v>
      </c>
      <c r="B21">
        <v>1.29565727181937E-4</v>
      </c>
      <c r="C21">
        <v>4</v>
      </c>
      <c r="D21">
        <v>194</v>
      </c>
      <c r="E21" t="s">
        <v>17</v>
      </c>
      <c r="F21" t="s">
        <v>18</v>
      </c>
      <c r="G21">
        <v>3.13767607268838E-2</v>
      </c>
      <c r="H21" t="s">
        <v>42</v>
      </c>
      <c r="I21" t="s">
        <v>51</v>
      </c>
      <c r="J21" t="s">
        <v>1650</v>
      </c>
    </row>
    <row r="22" spans="1:10" x14ac:dyDescent="0.2">
      <c r="A22">
        <v>0</v>
      </c>
      <c r="B22">
        <v>9.1363892925761298E-5</v>
      </c>
      <c r="C22">
        <v>5</v>
      </c>
      <c r="D22">
        <v>2409</v>
      </c>
      <c r="E22" t="s">
        <v>21</v>
      </c>
      <c r="F22" t="s">
        <v>22</v>
      </c>
      <c r="G22">
        <v>2.48509788758071E-2</v>
      </c>
      <c r="H22" t="s">
        <v>42</v>
      </c>
      <c r="I22" t="s">
        <v>51</v>
      </c>
      <c r="J22" t="s">
        <v>1650</v>
      </c>
    </row>
    <row r="23" spans="1:10" x14ac:dyDescent="0.2">
      <c r="A23">
        <v>0</v>
      </c>
      <c r="B23" s="1">
        <v>1.4902460674948701E-4</v>
      </c>
      <c r="C23">
        <v>3</v>
      </c>
      <c r="D23">
        <v>14</v>
      </c>
      <c r="E23" t="s">
        <v>317</v>
      </c>
      <c r="F23" t="s">
        <v>318</v>
      </c>
      <c r="G23">
        <v>3.2061789316651899E-2</v>
      </c>
      <c r="H23" t="s">
        <v>42</v>
      </c>
      <c r="I23" t="s">
        <v>51</v>
      </c>
      <c r="J23" t="s">
        <v>1650</v>
      </c>
    </row>
    <row r="24" spans="1:10" x14ac:dyDescent="0.2">
      <c r="A24">
        <v>0</v>
      </c>
      <c r="B24" s="1">
        <v>2.7951839887160999E-9</v>
      </c>
      <c r="C24">
        <v>2</v>
      </c>
      <c r="D24">
        <v>2484</v>
      </c>
      <c r="E24" t="s">
        <v>80</v>
      </c>
      <c r="F24" t="s">
        <v>81</v>
      </c>
      <c r="G24">
        <v>4.5617402695846697E-6</v>
      </c>
      <c r="H24" t="s">
        <v>42</v>
      </c>
      <c r="I24" t="s">
        <v>51</v>
      </c>
      <c r="J24" t="s">
        <v>1650</v>
      </c>
    </row>
    <row r="25" spans="1:10" x14ac:dyDescent="0.2">
      <c r="A25">
        <v>0</v>
      </c>
      <c r="B25" s="1">
        <v>2.2135860608630799E-4</v>
      </c>
      <c r="C25">
        <v>3</v>
      </c>
      <c r="D25">
        <v>456</v>
      </c>
      <c r="E25" t="s">
        <v>172</v>
      </c>
      <c r="F25" t="s">
        <v>173</v>
      </c>
      <c r="G25">
        <v>4.33508694159426E-2</v>
      </c>
      <c r="H25" t="s">
        <v>42</v>
      </c>
      <c r="I25" t="s">
        <v>51</v>
      </c>
      <c r="J25" t="s">
        <v>1650</v>
      </c>
    </row>
    <row r="26" spans="1:10" x14ac:dyDescent="0.2">
      <c r="A26">
        <v>0</v>
      </c>
      <c r="B26" s="1">
        <v>6.0794887622022203E-6</v>
      </c>
      <c r="C26">
        <v>2</v>
      </c>
      <c r="D26">
        <v>2205</v>
      </c>
      <c r="E26" t="s">
        <v>186</v>
      </c>
      <c r="F26" t="s">
        <v>187</v>
      </c>
      <c r="G26">
        <v>2.9765176979742098E-3</v>
      </c>
      <c r="H26" t="s">
        <v>42</v>
      </c>
      <c r="I26" t="s">
        <v>51</v>
      </c>
      <c r="J26" t="s">
        <v>1650</v>
      </c>
    </row>
    <row r="27" spans="1:10" x14ac:dyDescent="0.2">
      <c r="A27">
        <v>0</v>
      </c>
      <c r="B27" s="1">
        <v>6.8706442354867501E-5</v>
      </c>
      <c r="C27">
        <v>5</v>
      </c>
      <c r="D27">
        <v>11</v>
      </c>
      <c r="E27" t="s">
        <v>25</v>
      </c>
      <c r="F27" t="s">
        <v>26</v>
      </c>
      <c r="G27">
        <v>2.36638379323552E-2</v>
      </c>
      <c r="H27" t="s">
        <v>42</v>
      </c>
      <c r="I27" t="s">
        <v>51</v>
      </c>
      <c r="J27" t="s">
        <v>1657</v>
      </c>
    </row>
    <row r="28" spans="1:10" x14ac:dyDescent="0.2">
      <c r="A28">
        <v>0</v>
      </c>
      <c r="B28" s="1">
        <v>8.3256853690481894E-8</v>
      </c>
      <c r="C28">
        <v>2</v>
      </c>
      <c r="D28">
        <v>1372</v>
      </c>
      <c r="E28" t="s">
        <v>222</v>
      </c>
      <c r="F28" t="s">
        <v>223</v>
      </c>
      <c r="G28">
        <v>8.1525111133719905E-5</v>
      </c>
      <c r="H28" t="s">
        <v>42</v>
      </c>
      <c r="I28" t="s">
        <v>51</v>
      </c>
      <c r="J28" t="s">
        <v>1650</v>
      </c>
    </row>
    <row r="29" spans="1:10" x14ac:dyDescent="0.2">
      <c r="A29">
        <v>0</v>
      </c>
      <c r="B29">
        <v>5.3890410768909001E-8</v>
      </c>
      <c r="C29">
        <v>2</v>
      </c>
      <c r="D29">
        <v>287</v>
      </c>
      <c r="E29" t="s">
        <v>319</v>
      </c>
      <c r="F29" t="s">
        <v>320</v>
      </c>
      <c r="G29">
        <v>6.5961862781144598E-5</v>
      </c>
      <c r="H29" t="s">
        <v>42</v>
      </c>
      <c r="I29" t="s">
        <v>51</v>
      </c>
      <c r="J29" t="s">
        <v>1650</v>
      </c>
    </row>
    <row r="30" spans="1:10" x14ac:dyDescent="0.2">
      <c r="A30">
        <v>0</v>
      </c>
      <c r="B30">
        <v>3.7052096805708799E-7</v>
      </c>
      <c r="C30">
        <v>3</v>
      </c>
      <c r="D30">
        <v>500</v>
      </c>
      <c r="E30" t="s">
        <v>321</v>
      </c>
      <c r="F30" t="s">
        <v>322</v>
      </c>
      <c r="G30">
        <v>2.591529513725E-4</v>
      </c>
      <c r="H30" t="s">
        <v>42</v>
      </c>
      <c r="I30" t="s">
        <v>51</v>
      </c>
      <c r="J30" t="s">
        <v>1650</v>
      </c>
    </row>
    <row r="31" spans="1:10" x14ac:dyDescent="0.2">
      <c r="A31">
        <v>0</v>
      </c>
      <c r="B31">
        <v>5.0251480314835997E-5</v>
      </c>
      <c r="C31">
        <v>4</v>
      </c>
      <c r="D31">
        <v>10</v>
      </c>
      <c r="E31" t="s">
        <v>323</v>
      </c>
      <c r="F31" t="s">
        <v>324</v>
      </c>
      <c r="G31">
        <v>2.0512916674621899E-2</v>
      </c>
      <c r="H31" t="s">
        <v>42</v>
      </c>
      <c r="I31" t="s">
        <v>51</v>
      </c>
      <c r="J31" t="s">
        <v>1650</v>
      </c>
    </row>
    <row r="32" spans="1:10" x14ac:dyDescent="0.2">
      <c r="A32">
        <v>0</v>
      </c>
      <c r="B32">
        <v>2.7372639967115702E-4</v>
      </c>
      <c r="C32">
        <v>3</v>
      </c>
      <c r="D32">
        <v>17</v>
      </c>
      <c r="E32" t="s">
        <v>325</v>
      </c>
      <c r="F32" t="s">
        <v>326</v>
      </c>
      <c r="G32">
        <v>4.6212567337585699E-2</v>
      </c>
      <c r="H32" t="s">
        <v>42</v>
      </c>
      <c r="I32" t="s">
        <v>51</v>
      </c>
      <c r="J32" t="s">
        <v>1650</v>
      </c>
    </row>
    <row r="33" spans="1:10" x14ac:dyDescent="0.2">
      <c r="A33">
        <v>0</v>
      </c>
      <c r="B33">
        <v>1.72235581643898E-4</v>
      </c>
      <c r="C33">
        <v>2</v>
      </c>
      <c r="D33">
        <v>1383</v>
      </c>
      <c r="E33" t="s">
        <v>230</v>
      </c>
      <c r="F33" t="s">
        <v>231</v>
      </c>
      <c r="G33">
        <v>3.5136058655355198E-2</v>
      </c>
      <c r="H33" t="s">
        <v>42</v>
      </c>
      <c r="I33" t="s">
        <v>51</v>
      </c>
      <c r="J33" t="s">
        <v>131</v>
      </c>
    </row>
    <row r="34" spans="1:10" x14ac:dyDescent="0.2">
      <c r="A34">
        <v>0</v>
      </c>
      <c r="B34">
        <v>1.1775355905661601E-4</v>
      </c>
      <c r="C34">
        <v>2</v>
      </c>
      <c r="D34">
        <v>13</v>
      </c>
      <c r="E34" t="s">
        <v>327</v>
      </c>
      <c r="F34" t="s">
        <v>328</v>
      </c>
      <c r="G34">
        <v>3.0343232902168001E-2</v>
      </c>
      <c r="H34" t="s">
        <v>42</v>
      </c>
      <c r="I34" t="s">
        <v>51</v>
      </c>
      <c r="J34" t="s">
        <v>1650</v>
      </c>
    </row>
    <row r="35" spans="1:10" x14ac:dyDescent="0.2">
      <c r="A35">
        <v>0</v>
      </c>
      <c r="B35">
        <v>1.50617065825775E-4</v>
      </c>
      <c r="C35">
        <v>3</v>
      </c>
      <c r="D35">
        <v>66</v>
      </c>
      <c r="E35" t="s">
        <v>329</v>
      </c>
      <c r="F35" t="s">
        <v>330</v>
      </c>
      <c r="G35">
        <v>3.2061789316651899E-2</v>
      </c>
      <c r="H35" t="s">
        <v>42</v>
      </c>
      <c r="I35" t="s">
        <v>51</v>
      </c>
      <c r="J35" t="s">
        <v>1650</v>
      </c>
    </row>
    <row r="36" spans="1:10" x14ac:dyDescent="0.2">
      <c r="A36">
        <v>0</v>
      </c>
      <c r="B36">
        <v>9.1092578570708203E-5</v>
      </c>
      <c r="C36">
        <v>2</v>
      </c>
      <c r="D36">
        <v>12</v>
      </c>
      <c r="E36" t="s">
        <v>331</v>
      </c>
      <c r="F36" t="s">
        <v>332</v>
      </c>
      <c r="G36">
        <v>2.48509788758071E-2</v>
      </c>
      <c r="H36" t="s">
        <v>42</v>
      </c>
      <c r="I36" t="s">
        <v>51</v>
      </c>
      <c r="J36" t="s">
        <v>1650</v>
      </c>
    </row>
    <row r="37" spans="1:10" x14ac:dyDescent="0.2">
      <c r="A37">
        <v>0</v>
      </c>
      <c r="B37">
        <v>2.6933048170153502E-4</v>
      </c>
      <c r="C37">
        <v>2</v>
      </c>
      <c r="D37">
        <v>999</v>
      </c>
      <c r="E37" t="s">
        <v>92</v>
      </c>
      <c r="F37" t="s">
        <v>93</v>
      </c>
      <c r="G37">
        <v>4.6212567337585699E-2</v>
      </c>
      <c r="H37" t="s">
        <v>42</v>
      </c>
      <c r="I37" t="s">
        <v>51</v>
      </c>
      <c r="J37" t="s">
        <v>1650</v>
      </c>
    </row>
    <row r="38" spans="1:10" x14ac:dyDescent="0.2">
      <c r="A38">
        <v>0</v>
      </c>
      <c r="B38">
        <v>7.7332803700507294E-5</v>
      </c>
      <c r="C38">
        <v>2</v>
      </c>
      <c r="D38">
        <v>2772</v>
      </c>
      <c r="E38" t="s">
        <v>98</v>
      </c>
      <c r="F38" t="s">
        <v>99</v>
      </c>
      <c r="G38">
        <v>2.36638379323552E-2</v>
      </c>
      <c r="H38" t="s">
        <v>42</v>
      </c>
      <c r="I38" t="s">
        <v>51</v>
      </c>
      <c r="J38" t="s">
        <v>1650</v>
      </c>
    </row>
    <row r="39" spans="1:10" x14ac:dyDescent="0.2">
      <c r="A39">
        <v>0</v>
      </c>
      <c r="B39">
        <v>2.41651400596042E-4</v>
      </c>
      <c r="C39">
        <v>3</v>
      </c>
      <c r="D39">
        <v>40</v>
      </c>
      <c r="E39" t="s">
        <v>333</v>
      </c>
      <c r="F39" t="s">
        <v>334</v>
      </c>
      <c r="G39">
        <v>4.5504817589162402E-2</v>
      </c>
      <c r="H39" t="s">
        <v>42</v>
      </c>
      <c r="I39" t="s">
        <v>51</v>
      </c>
      <c r="J39" t="s">
        <v>1650</v>
      </c>
    </row>
    <row r="40" spans="1:10" x14ac:dyDescent="0.2">
      <c r="A40">
        <v>0</v>
      </c>
      <c r="B40">
        <v>7.2788343874366504E-5</v>
      </c>
      <c r="C40">
        <v>2</v>
      </c>
      <c r="D40">
        <v>1306</v>
      </c>
      <c r="E40" t="s">
        <v>280</v>
      </c>
      <c r="F40" t="s">
        <v>281</v>
      </c>
      <c r="G40">
        <v>2.36638379323552E-2</v>
      </c>
      <c r="H40" t="s">
        <v>42</v>
      </c>
      <c r="I40" t="s">
        <v>51</v>
      </c>
      <c r="J40" t="s">
        <v>1650</v>
      </c>
    </row>
    <row r="41" spans="1:10" x14ac:dyDescent="0.2">
      <c r="A41">
        <v>0</v>
      </c>
      <c r="B41">
        <v>7.6929284804753897E-7</v>
      </c>
      <c r="C41">
        <v>4</v>
      </c>
      <c r="D41">
        <v>34</v>
      </c>
      <c r="E41" t="s">
        <v>335</v>
      </c>
      <c r="F41" t="s">
        <v>336</v>
      </c>
      <c r="G41">
        <v>3.7664577840407498E-3</v>
      </c>
      <c r="H41" t="s">
        <v>42</v>
      </c>
      <c r="I41" t="s">
        <v>337</v>
      </c>
      <c r="J41" t="s">
        <v>1650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89B12-B568-EF45-BFD2-91CF50ACD986}">
  <sheetPr codeName="Sheet5"/>
  <dimension ref="A1:M162"/>
  <sheetViews>
    <sheetView topLeftCell="A145" zoomScale="150" workbookViewId="0">
      <selection activeCell="F160" sqref="F160"/>
    </sheetView>
  </sheetViews>
  <sheetFormatPr baseColWidth="10" defaultRowHeight="16" x14ac:dyDescent="0.2"/>
  <cols>
    <col min="5" max="5" width="10.83203125" customWidth="1"/>
  </cols>
  <sheetData>
    <row r="1" spans="1:13" x14ac:dyDescent="0.2">
      <c r="A1" t="s">
        <v>338</v>
      </c>
    </row>
    <row r="2" spans="1:13" x14ac:dyDescent="0.2">
      <c r="A2" t="s">
        <v>45</v>
      </c>
    </row>
    <row r="3" spans="1:13" x14ac:dyDescent="0.2">
      <c r="A3" t="s">
        <v>46</v>
      </c>
    </row>
    <row r="4" spans="1:13" x14ac:dyDescent="0.2">
      <c r="A4" t="s">
        <v>47</v>
      </c>
    </row>
    <row r="5" spans="1:13" x14ac:dyDescent="0.2">
      <c r="A5" t="s">
        <v>48</v>
      </c>
    </row>
    <row r="6" spans="1:13" x14ac:dyDescent="0.2">
      <c r="A6" t="s">
        <v>49</v>
      </c>
    </row>
    <row r="7" spans="1:13" x14ac:dyDescent="0.2">
      <c r="A7" t="s">
        <v>44</v>
      </c>
    </row>
    <row r="8" spans="1:13" x14ac:dyDescent="0.2">
      <c r="A8" t="s">
        <v>43</v>
      </c>
    </row>
    <row r="9" spans="1:13" x14ac:dyDescent="0.2">
      <c r="A9" t="s">
        <v>52</v>
      </c>
    </row>
    <row r="10" spans="1:13" ht="17" thickBot="1" x14ac:dyDescent="0.25">
      <c r="A10" t="s">
        <v>1649</v>
      </c>
    </row>
    <row r="11" spans="1:13" ht="17" thickBot="1" x14ac:dyDescent="0.25">
      <c r="A11" s="2" t="s">
        <v>0</v>
      </c>
      <c r="B11" s="2" t="s">
        <v>1</v>
      </c>
      <c r="C11" s="2" t="s">
        <v>2</v>
      </c>
      <c r="D11" s="2" t="s">
        <v>3</v>
      </c>
      <c r="E11" s="2" t="s">
        <v>4</v>
      </c>
      <c r="F11" s="2" t="s">
        <v>5</v>
      </c>
      <c r="G11" s="2" t="s">
        <v>6</v>
      </c>
      <c r="H11" s="2" t="s">
        <v>41</v>
      </c>
      <c r="I11" s="2" t="s">
        <v>50</v>
      </c>
      <c r="J11" s="11" t="s">
        <v>1647</v>
      </c>
    </row>
    <row r="12" spans="1:13" x14ac:dyDescent="0.2">
      <c r="A12">
        <v>0</v>
      </c>
      <c r="B12">
        <v>1.2855844100549501E-4</v>
      </c>
      <c r="C12">
        <v>2</v>
      </c>
      <c r="D12">
        <v>66</v>
      </c>
      <c r="E12" t="s">
        <v>339</v>
      </c>
      <c r="F12" t="s">
        <v>340</v>
      </c>
      <c r="G12">
        <v>9.5661199601152699E-3</v>
      </c>
      <c r="H12" t="s">
        <v>42</v>
      </c>
      <c r="I12" t="s">
        <v>51</v>
      </c>
      <c r="J12" t="s">
        <v>1650</v>
      </c>
    </row>
    <row r="13" spans="1:13" x14ac:dyDescent="0.2">
      <c r="A13">
        <v>0</v>
      </c>
      <c r="B13" s="1">
        <v>8.6902444546715692E-6</v>
      </c>
      <c r="C13">
        <v>3</v>
      </c>
      <c r="D13">
        <v>12</v>
      </c>
      <c r="E13" t="s">
        <v>341</v>
      </c>
      <c r="F13" t="s">
        <v>342</v>
      </c>
      <c r="G13">
        <v>1.09095991923262E-3</v>
      </c>
      <c r="H13" t="s">
        <v>42</v>
      </c>
      <c r="I13" t="s">
        <v>51</v>
      </c>
      <c r="J13" t="s">
        <v>1650</v>
      </c>
    </row>
    <row r="14" spans="1:13" x14ac:dyDescent="0.2">
      <c r="A14">
        <v>0</v>
      </c>
      <c r="B14" s="1">
        <v>8.6728377530582602E-5</v>
      </c>
      <c r="C14">
        <v>2</v>
      </c>
      <c r="D14">
        <v>8</v>
      </c>
      <c r="E14" t="s">
        <v>343</v>
      </c>
      <c r="F14" t="s">
        <v>344</v>
      </c>
      <c r="G14">
        <v>7.0770356064955402E-3</v>
      </c>
      <c r="H14" t="s">
        <v>42</v>
      </c>
      <c r="I14" t="s">
        <v>51</v>
      </c>
      <c r="J14" t="s">
        <v>1650</v>
      </c>
      <c r="M14" s="12" t="s">
        <v>1663</v>
      </c>
    </row>
    <row r="15" spans="1:13" x14ac:dyDescent="0.2">
      <c r="A15">
        <v>0</v>
      </c>
      <c r="B15" s="1">
        <v>1.59011606878969E-5</v>
      </c>
      <c r="C15">
        <v>2</v>
      </c>
      <c r="D15">
        <v>5</v>
      </c>
      <c r="E15" t="s">
        <v>345</v>
      </c>
      <c r="F15" t="s">
        <v>346</v>
      </c>
      <c r="G15">
        <v>1.73684623119748E-3</v>
      </c>
      <c r="H15" t="s">
        <v>42</v>
      </c>
      <c r="I15" t="s">
        <v>51</v>
      </c>
      <c r="J15" t="s">
        <v>1650</v>
      </c>
      <c r="M15" s="12" t="s">
        <v>1662</v>
      </c>
    </row>
    <row r="16" spans="1:13" x14ac:dyDescent="0.2">
      <c r="A16">
        <v>0</v>
      </c>
      <c r="B16" s="1">
        <v>9.4932372246258897E-7</v>
      </c>
      <c r="C16">
        <v>2</v>
      </c>
      <c r="D16">
        <v>426</v>
      </c>
      <c r="E16" t="s">
        <v>108</v>
      </c>
      <c r="F16" t="s">
        <v>109</v>
      </c>
      <c r="G16">
        <v>1.7214403500654901E-4</v>
      </c>
      <c r="H16" t="s">
        <v>42</v>
      </c>
      <c r="I16" t="s">
        <v>51</v>
      </c>
      <c r="J16" t="s">
        <v>1650</v>
      </c>
    </row>
    <row r="17" spans="1:10" x14ac:dyDescent="0.2">
      <c r="A17">
        <v>0</v>
      </c>
      <c r="B17" s="1">
        <v>9.1083612407802503E-4</v>
      </c>
      <c r="C17">
        <v>2</v>
      </c>
      <c r="D17">
        <v>130</v>
      </c>
      <c r="E17" t="s">
        <v>112</v>
      </c>
      <c r="F17" t="s">
        <v>113</v>
      </c>
      <c r="G17">
        <v>4.2934155798111301E-2</v>
      </c>
      <c r="H17" t="s">
        <v>42</v>
      </c>
      <c r="I17" t="s">
        <v>51</v>
      </c>
      <c r="J17" t="s">
        <v>1650</v>
      </c>
    </row>
    <row r="18" spans="1:10" x14ac:dyDescent="0.2">
      <c r="A18">
        <v>0</v>
      </c>
      <c r="B18" s="1">
        <v>5.3483902158506702E-4</v>
      </c>
      <c r="C18">
        <v>2</v>
      </c>
      <c r="D18">
        <v>14</v>
      </c>
      <c r="E18" t="s">
        <v>347</v>
      </c>
      <c r="F18" t="s">
        <v>348</v>
      </c>
      <c r="G18">
        <v>2.97564982918237E-2</v>
      </c>
      <c r="H18" t="s">
        <v>42</v>
      </c>
      <c r="I18" t="s">
        <v>51</v>
      </c>
      <c r="J18" t="s">
        <v>1650</v>
      </c>
    </row>
    <row r="19" spans="1:10" x14ac:dyDescent="0.2">
      <c r="A19">
        <v>0</v>
      </c>
      <c r="B19" s="1">
        <v>9.8113242086243801E-4</v>
      </c>
      <c r="C19">
        <v>3</v>
      </c>
      <c r="D19">
        <v>1562</v>
      </c>
      <c r="E19" t="s">
        <v>349</v>
      </c>
      <c r="F19" t="s">
        <v>350</v>
      </c>
      <c r="G19">
        <v>4.4478003079097203E-2</v>
      </c>
      <c r="H19" t="s">
        <v>42</v>
      </c>
      <c r="I19" t="s">
        <v>51</v>
      </c>
      <c r="J19" t="s">
        <v>1650</v>
      </c>
    </row>
    <row r="20" spans="1:10" x14ac:dyDescent="0.2">
      <c r="A20">
        <v>0</v>
      </c>
      <c r="B20" s="1">
        <v>1.2895504848194601E-4</v>
      </c>
      <c r="C20">
        <v>4</v>
      </c>
      <c r="D20">
        <v>9</v>
      </c>
      <c r="E20" t="s">
        <v>351</v>
      </c>
      <c r="F20" t="s">
        <v>352</v>
      </c>
      <c r="G20">
        <v>9.5661199601152699E-3</v>
      </c>
      <c r="H20" t="s">
        <v>42</v>
      </c>
      <c r="I20" t="s">
        <v>51</v>
      </c>
      <c r="J20" t="s">
        <v>1657</v>
      </c>
    </row>
    <row r="21" spans="1:10" x14ac:dyDescent="0.2">
      <c r="A21">
        <v>0</v>
      </c>
      <c r="B21">
        <v>1.65046756932466E-4</v>
      </c>
      <c r="C21">
        <v>2</v>
      </c>
      <c r="D21">
        <v>671</v>
      </c>
      <c r="E21" t="s">
        <v>353</v>
      </c>
      <c r="F21" t="s">
        <v>354</v>
      </c>
      <c r="G21">
        <v>1.1069437286867901E-2</v>
      </c>
      <c r="H21" t="s">
        <v>42</v>
      </c>
      <c r="I21" t="s">
        <v>51</v>
      </c>
      <c r="J21" t="s">
        <v>1650</v>
      </c>
    </row>
    <row r="22" spans="1:10" x14ac:dyDescent="0.2">
      <c r="A22">
        <v>0</v>
      </c>
      <c r="B22">
        <v>4.7831702922957996E-6</v>
      </c>
      <c r="C22">
        <v>5</v>
      </c>
      <c r="D22">
        <v>80</v>
      </c>
      <c r="E22" t="s">
        <v>355</v>
      </c>
      <c r="F22" t="s">
        <v>356</v>
      </c>
      <c r="G22">
        <v>6.5051115975222902E-4</v>
      </c>
      <c r="H22" t="s">
        <v>42</v>
      </c>
      <c r="I22" t="s">
        <v>51</v>
      </c>
      <c r="J22" t="s">
        <v>1650</v>
      </c>
    </row>
    <row r="23" spans="1:10" x14ac:dyDescent="0.2">
      <c r="A23">
        <v>0</v>
      </c>
      <c r="B23" s="1">
        <v>2.4889798985369298E-4</v>
      </c>
      <c r="C23">
        <v>3</v>
      </c>
      <c r="D23">
        <v>11</v>
      </c>
      <c r="E23" t="s">
        <v>357</v>
      </c>
      <c r="F23" t="s">
        <v>358</v>
      </c>
      <c r="G23">
        <v>1.58260332249829E-2</v>
      </c>
      <c r="H23" t="s">
        <v>42</v>
      </c>
      <c r="I23" t="s">
        <v>51</v>
      </c>
      <c r="J23" t="s">
        <v>1650</v>
      </c>
    </row>
    <row r="24" spans="1:10" x14ac:dyDescent="0.2">
      <c r="A24">
        <v>0</v>
      </c>
      <c r="B24" s="1">
        <v>1.1590574971590199E-3</v>
      </c>
      <c r="C24">
        <v>2</v>
      </c>
      <c r="D24">
        <v>217</v>
      </c>
      <c r="E24" t="s">
        <v>60</v>
      </c>
      <c r="F24" t="s">
        <v>61</v>
      </c>
      <c r="G24">
        <v>4.97784693516716E-2</v>
      </c>
      <c r="H24" t="s">
        <v>42</v>
      </c>
      <c r="I24" t="s">
        <v>51</v>
      </c>
      <c r="J24" t="s">
        <v>1650</v>
      </c>
    </row>
    <row r="25" spans="1:10" x14ac:dyDescent="0.2">
      <c r="A25">
        <v>0</v>
      </c>
      <c r="B25" s="1">
        <v>1.6418814260444001E-11</v>
      </c>
      <c r="C25">
        <v>2</v>
      </c>
      <c r="D25">
        <v>1701</v>
      </c>
      <c r="E25" t="s">
        <v>62</v>
      </c>
      <c r="F25" t="s">
        <v>63</v>
      </c>
      <c r="G25">
        <v>1.33977524365223E-8</v>
      </c>
      <c r="H25" t="s">
        <v>42</v>
      </c>
      <c r="I25" t="s">
        <v>51</v>
      </c>
      <c r="J25" t="s">
        <v>1650</v>
      </c>
    </row>
    <row r="26" spans="1:10" x14ac:dyDescent="0.2">
      <c r="A26">
        <v>0</v>
      </c>
      <c r="B26" s="1">
        <v>2.25608371694458E-17</v>
      </c>
      <c r="C26">
        <v>2</v>
      </c>
      <c r="D26">
        <v>3445</v>
      </c>
      <c r="E26" t="s">
        <v>64</v>
      </c>
      <c r="F26" t="s">
        <v>65</v>
      </c>
      <c r="G26">
        <v>3.6819286260535498E-14</v>
      </c>
      <c r="H26" t="s">
        <v>42</v>
      </c>
      <c r="I26" t="s">
        <v>51</v>
      </c>
      <c r="J26" t="s">
        <v>1650</v>
      </c>
    </row>
    <row r="27" spans="1:10" x14ac:dyDescent="0.2">
      <c r="A27">
        <v>0</v>
      </c>
      <c r="B27" s="1">
        <v>2.0572602602445401E-11</v>
      </c>
      <c r="C27">
        <v>2</v>
      </c>
      <c r="D27">
        <v>1083</v>
      </c>
      <c r="E27" t="s">
        <v>66</v>
      </c>
      <c r="F27" t="s">
        <v>67</v>
      </c>
      <c r="G27">
        <v>1.40810833827842E-8</v>
      </c>
      <c r="H27" t="s">
        <v>42</v>
      </c>
      <c r="I27" t="s">
        <v>51</v>
      </c>
      <c r="J27" t="s">
        <v>1650</v>
      </c>
    </row>
    <row r="28" spans="1:10" x14ac:dyDescent="0.2">
      <c r="A28">
        <v>0</v>
      </c>
      <c r="B28" s="1">
        <v>2.0309486499566E-5</v>
      </c>
      <c r="C28">
        <v>2</v>
      </c>
      <c r="D28">
        <v>193</v>
      </c>
      <c r="E28" t="s">
        <v>315</v>
      </c>
      <c r="F28" t="s">
        <v>316</v>
      </c>
      <c r="G28">
        <v>2.11564352982713E-3</v>
      </c>
      <c r="H28" t="s">
        <v>42</v>
      </c>
      <c r="I28" t="s">
        <v>51</v>
      </c>
      <c r="J28" t="s">
        <v>1650</v>
      </c>
    </row>
    <row r="29" spans="1:10" x14ac:dyDescent="0.2">
      <c r="A29">
        <v>0</v>
      </c>
      <c r="B29">
        <v>4.0095392396296701E-13</v>
      </c>
      <c r="C29">
        <v>6</v>
      </c>
      <c r="D29">
        <v>677</v>
      </c>
      <c r="E29" t="s">
        <v>124</v>
      </c>
      <c r="F29" t="s">
        <v>125</v>
      </c>
      <c r="G29">
        <v>3.9261408234453698E-10</v>
      </c>
      <c r="H29" t="s">
        <v>42</v>
      </c>
      <c r="I29" t="s">
        <v>51</v>
      </c>
      <c r="J29" t="s">
        <v>1650</v>
      </c>
    </row>
    <row r="30" spans="1:10" x14ac:dyDescent="0.2">
      <c r="A30">
        <v>0</v>
      </c>
      <c r="B30">
        <v>6.9946704263646306E-8</v>
      </c>
      <c r="C30">
        <v>2</v>
      </c>
      <c r="D30">
        <v>359</v>
      </c>
      <c r="E30" t="s">
        <v>126</v>
      </c>
      <c r="F30" t="s">
        <v>127</v>
      </c>
      <c r="G30">
        <v>1.7122953203740599E-5</v>
      </c>
      <c r="H30" t="s">
        <v>42</v>
      </c>
      <c r="I30" t="s">
        <v>51</v>
      </c>
      <c r="J30" t="s">
        <v>1650</v>
      </c>
    </row>
    <row r="31" spans="1:10" x14ac:dyDescent="0.2">
      <c r="A31">
        <v>0</v>
      </c>
      <c r="B31">
        <v>2.9166176029195701E-5</v>
      </c>
      <c r="C31">
        <v>3</v>
      </c>
      <c r="D31">
        <v>404</v>
      </c>
      <c r="E31" t="s">
        <v>359</v>
      </c>
      <c r="F31" t="s">
        <v>360</v>
      </c>
      <c r="G31">
        <v>2.7999528988027901E-3</v>
      </c>
      <c r="H31" t="s">
        <v>42</v>
      </c>
      <c r="I31" t="s">
        <v>51</v>
      </c>
      <c r="J31" t="s">
        <v>1650</v>
      </c>
    </row>
    <row r="32" spans="1:10" x14ac:dyDescent="0.2">
      <c r="A32">
        <v>0</v>
      </c>
      <c r="B32">
        <v>4.6225636334051497E-7</v>
      </c>
      <c r="C32">
        <v>3</v>
      </c>
      <c r="D32">
        <v>3152</v>
      </c>
      <c r="E32" t="s">
        <v>361</v>
      </c>
      <c r="F32" t="s">
        <v>362</v>
      </c>
      <c r="G32">
        <v>9.2542647289650505E-5</v>
      </c>
      <c r="H32" t="s">
        <v>42</v>
      </c>
      <c r="I32" t="s">
        <v>51</v>
      </c>
      <c r="J32" t="s">
        <v>1658</v>
      </c>
    </row>
    <row r="33" spans="1:10" x14ac:dyDescent="0.2">
      <c r="A33">
        <v>0</v>
      </c>
      <c r="B33">
        <v>1.0987712257708301E-3</v>
      </c>
      <c r="C33">
        <v>2</v>
      </c>
      <c r="D33">
        <v>668</v>
      </c>
      <c r="E33" t="s">
        <v>363</v>
      </c>
      <c r="F33" t="s">
        <v>364</v>
      </c>
      <c r="G33">
        <v>4.8464720012378198E-2</v>
      </c>
      <c r="H33" t="s">
        <v>42</v>
      </c>
      <c r="I33" t="s">
        <v>51</v>
      </c>
      <c r="J33" t="s">
        <v>1658</v>
      </c>
    </row>
    <row r="34" spans="1:10" x14ac:dyDescent="0.2">
      <c r="A34">
        <v>0</v>
      </c>
      <c r="B34">
        <v>5.8510397436602603E-4</v>
      </c>
      <c r="C34">
        <v>2</v>
      </c>
      <c r="D34">
        <v>376</v>
      </c>
      <c r="E34" t="s">
        <v>68</v>
      </c>
      <c r="F34" t="s">
        <v>69</v>
      </c>
      <c r="G34">
        <v>3.2138101766169803E-2</v>
      </c>
      <c r="H34" t="s">
        <v>42</v>
      </c>
      <c r="I34" t="s">
        <v>51</v>
      </c>
      <c r="J34" t="s">
        <v>1650</v>
      </c>
    </row>
    <row r="35" spans="1:10" x14ac:dyDescent="0.2">
      <c r="A35">
        <v>0</v>
      </c>
      <c r="B35">
        <v>6.2457732371839396E-4</v>
      </c>
      <c r="C35">
        <v>4</v>
      </c>
      <c r="D35">
        <v>159</v>
      </c>
      <c r="E35" t="s">
        <v>70</v>
      </c>
      <c r="F35" t="s">
        <v>365</v>
      </c>
      <c r="G35">
        <v>3.3238375836144099E-2</v>
      </c>
      <c r="H35" t="s">
        <v>42</v>
      </c>
      <c r="I35" t="s">
        <v>51</v>
      </c>
      <c r="J35" t="s">
        <v>1650</v>
      </c>
    </row>
    <row r="36" spans="1:10" x14ac:dyDescent="0.2">
      <c r="A36">
        <v>0</v>
      </c>
      <c r="B36">
        <v>6.5405720052463703E-4</v>
      </c>
      <c r="C36">
        <v>2</v>
      </c>
      <c r="D36">
        <v>638</v>
      </c>
      <c r="E36" t="s">
        <v>130</v>
      </c>
      <c r="F36" t="s">
        <v>131</v>
      </c>
      <c r="G36">
        <v>3.4066638869878998E-2</v>
      </c>
      <c r="H36" t="s">
        <v>42</v>
      </c>
      <c r="I36" t="s">
        <v>51</v>
      </c>
      <c r="J36" t="s">
        <v>1657</v>
      </c>
    </row>
    <row r="37" spans="1:10" x14ac:dyDescent="0.2">
      <c r="A37">
        <v>0</v>
      </c>
      <c r="B37">
        <v>4.7254211238587899E-7</v>
      </c>
      <c r="C37">
        <v>2</v>
      </c>
      <c r="D37">
        <v>2777</v>
      </c>
      <c r="E37" t="s">
        <v>11</v>
      </c>
      <c r="F37" t="s">
        <v>12</v>
      </c>
      <c r="G37">
        <v>9.2542647289650505E-5</v>
      </c>
      <c r="H37" t="s">
        <v>42</v>
      </c>
      <c r="I37" t="s">
        <v>51</v>
      </c>
      <c r="J37" t="s">
        <v>1650</v>
      </c>
    </row>
    <row r="38" spans="1:10" x14ac:dyDescent="0.2">
      <c r="A38">
        <v>0</v>
      </c>
      <c r="B38">
        <v>2.36330924870073E-7</v>
      </c>
      <c r="C38">
        <v>2</v>
      </c>
      <c r="D38">
        <v>732</v>
      </c>
      <c r="E38" t="s">
        <v>138</v>
      </c>
      <c r="F38" t="s">
        <v>139</v>
      </c>
      <c r="G38">
        <v>5.5098867055422699E-5</v>
      </c>
      <c r="H38" t="s">
        <v>42</v>
      </c>
      <c r="I38" t="s">
        <v>51</v>
      </c>
      <c r="J38" t="s">
        <v>1650</v>
      </c>
    </row>
    <row r="39" spans="1:10" x14ac:dyDescent="0.2">
      <c r="A39">
        <v>0</v>
      </c>
      <c r="B39">
        <v>1.0367794260651901E-9</v>
      </c>
      <c r="C39">
        <v>2</v>
      </c>
      <c r="D39">
        <v>1959</v>
      </c>
      <c r="E39" t="s">
        <v>140</v>
      </c>
      <c r="F39" t="s">
        <v>141</v>
      </c>
      <c r="G39">
        <v>4.2300600583459801E-7</v>
      </c>
      <c r="H39" t="s">
        <v>42</v>
      </c>
      <c r="I39" t="s">
        <v>51</v>
      </c>
      <c r="J39" t="s">
        <v>1650</v>
      </c>
    </row>
    <row r="40" spans="1:10" x14ac:dyDescent="0.2">
      <c r="A40">
        <v>0</v>
      </c>
      <c r="B40">
        <v>2.16417280638682E-4</v>
      </c>
      <c r="C40">
        <v>2</v>
      </c>
      <c r="D40">
        <v>530</v>
      </c>
      <c r="E40" t="s">
        <v>142</v>
      </c>
      <c r="F40" t="s">
        <v>143</v>
      </c>
      <c r="G40">
        <v>1.4127720080093199E-2</v>
      </c>
      <c r="H40" t="s">
        <v>42</v>
      </c>
      <c r="I40" t="s">
        <v>51</v>
      </c>
      <c r="J40" t="s">
        <v>1650</v>
      </c>
    </row>
    <row r="41" spans="1:10" x14ac:dyDescent="0.2">
      <c r="A41">
        <v>0</v>
      </c>
      <c r="B41">
        <v>4.5734987168850303E-6</v>
      </c>
      <c r="C41">
        <v>2</v>
      </c>
      <c r="D41">
        <v>756</v>
      </c>
      <c r="E41" t="s">
        <v>148</v>
      </c>
      <c r="F41" t="s">
        <v>149</v>
      </c>
      <c r="G41">
        <v>6.3976713479626005E-4</v>
      </c>
      <c r="H41" t="s">
        <v>42</v>
      </c>
      <c r="I41" t="s">
        <v>51</v>
      </c>
      <c r="J41" t="s">
        <v>1655</v>
      </c>
    </row>
    <row r="42" spans="1:10" x14ac:dyDescent="0.2">
      <c r="A42">
        <v>0</v>
      </c>
      <c r="B42">
        <v>1.1354430786850501E-3</v>
      </c>
      <c r="C42">
        <v>2</v>
      </c>
      <c r="D42">
        <v>135</v>
      </c>
      <c r="E42" t="s">
        <v>366</v>
      </c>
      <c r="F42" t="s">
        <v>367</v>
      </c>
      <c r="G42">
        <v>4.9635083153946498E-2</v>
      </c>
      <c r="H42" t="s">
        <v>42</v>
      </c>
      <c r="I42" t="s">
        <v>51</v>
      </c>
      <c r="J42" t="s">
        <v>1655</v>
      </c>
    </row>
    <row r="43" spans="1:10" x14ac:dyDescent="0.2">
      <c r="A43">
        <v>0</v>
      </c>
      <c r="B43">
        <v>6.6272342045326199E-4</v>
      </c>
      <c r="C43">
        <v>2</v>
      </c>
      <c r="D43">
        <v>15</v>
      </c>
      <c r="E43" t="s">
        <v>368</v>
      </c>
      <c r="F43" t="s">
        <v>369</v>
      </c>
      <c r="G43">
        <v>3.4154672279359699E-2</v>
      </c>
      <c r="H43" t="s">
        <v>42</v>
      </c>
      <c r="I43" t="s">
        <v>51</v>
      </c>
      <c r="J43" t="s">
        <v>1650</v>
      </c>
    </row>
    <row r="44" spans="1:10" x14ac:dyDescent="0.2">
      <c r="A44">
        <v>0</v>
      </c>
      <c r="B44">
        <v>1.4939007185339E-6</v>
      </c>
      <c r="C44">
        <v>3</v>
      </c>
      <c r="D44">
        <v>662</v>
      </c>
      <c r="E44" t="s">
        <v>156</v>
      </c>
      <c r="F44" t="s">
        <v>157</v>
      </c>
      <c r="G44">
        <v>2.43804597264732E-4</v>
      </c>
      <c r="H44" t="s">
        <v>42</v>
      </c>
      <c r="I44" t="s">
        <v>51</v>
      </c>
      <c r="J44" t="s">
        <v>1655</v>
      </c>
    </row>
    <row r="45" spans="1:10" x14ac:dyDescent="0.2">
      <c r="A45">
        <v>0</v>
      </c>
      <c r="B45">
        <v>1.80733341144576E-4</v>
      </c>
      <c r="C45">
        <v>2</v>
      </c>
      <c r="D45">
        <v>1538</v>
      </c>
      <c r="E45" t="s">
        <v>370</v>
      </c>
      <c r="F45" t="s">
        <v>371</v>
      </c>
      <c r="G45">
        <v>1.19577086249168E-2</v>
      </c>
      <c r="H45" t="s">
        <v>42</v>
      </c>
      <c r="I45" t="s">
        <v>51</v>
      </c>
      <c r="J45" t="s">
        <v>1650</v>
      </c>
    </row>
    <row r="46" spans="1:10" x14ac:dyDescent="0.2">
      <c r="A46">
        <v>0</v>
      </c>
      <c r="B46">
        <v>9.3637269845936609E-19</v>
      </c>
      <c r="C46">
        <v>5</v>
      </c>
      <c r="D46">
        <v>3616</v>
      </c>
      <c r="E46" t="s">
        <v>19</v>
      </c>
      <c r="F46" t="s">
        <v>20</v>
      </c>
      <c r="G46">
        <v>2.2922403658285298E-15</v>
      </c>
      <c r="H46" t="s">
        <v>42</v>
      </c>
      <c r="I46" t="s">
        <v>51</v>
      </c>
      <c r="J46" t="s">
        <v>1650</v>
      </c>
    </row>
    <row r="47" spans="1:10" x14ac:dyDescent="0.2">
      <c r="A47">
        <v>0</v>
      </c>
      <c r="B47">
        <v>8.0855657062231295E-4</v>
      </c>
      <c r="C47">
        <v>3</v>
      </c>
      <c r="D47">
        <v>16</v>
      </c>
      <c r="E47" t="s">
        <v>372</v>
      </c>
      <c r="F47" t="s">
        <v>373</v>
      </c>
      <c r="G47">
        <v>3.9194979898681599E-2</v>
      </c>
      <c r="H47" t="s">
        <v>42</v>
      </c>
      <c r="I47" t="s">
        <v>51</v>
      </c>
      <c r="J47" t="s">
        <v>1650</v>
      </c>
    </row>
    <row r="48" spans="1:10" x14ac:dyDescent="0.2">
      <c r="A48">
        <v>0</v>
      </c>
      <c r="B48">
        <v>1.2554260299236199E-6</v>
      </c>
      <c r="C48">
        <v>3</v>
      </c>
      <c r="D48">
        <v>948</v>
      </c>
      <c r="E48" t="s">
        <v>72</v>
      </c>
      <c r="F48" t="s">
        <v>73</v>
      </c>
      <c r="G48">
        <v>2.1952020866092999E-4</v>
      </c>
      <c r="H48" t="s">
        <v>42</v>
      </c>
      <c r="I48" t="s">
        <v>51</v>
      </c>
      <c r="J48" t="s">
        <v>1650</v>
      </c>
    </row>
    <row r="49" spans="1:10" x14ac:dyDescent="0.2">
      <c r="A49">
        <v>0</v>
      </c>
      <c r="B49">
        <v>4.24006774541301E-8</v>
      </c>
      <c r="C49">
        <v>3</v>
      </c>
      <c r="D49">
        <v>502</v>
      </c>
      <c r="E49" t="s">
        <v>168</v>
      </c>
      <c r="F49" t="s">
        <v>169</v>
      </c>
      <c r="G49">
        <v>1.15329842675234E-5</v>
      </c>
      <c r="H49" t="s">
        <v>42</v>
      </c>
      <c r="I49" t="s">
        <v>51</v>
      </c>
      <c r="J49" t="s">
        <v>1655</v>
      </c>
    </row>
    <row r="50" spans="1:10" x14ac:dyDescent="0.2">
      <c r="A50">
        <v>0</v>
      </c>
      <c r="B50">
        <v>2.3008306181019899E-11</v>
      </c>
      <c r="C50">
        <v>2</v>
      </c>
      <c r="D50">
        <v>2409</v>
      </c>
      <c r="E50" t="s">
        <v>21</v>
      </c>
      <c r="F50" t="s">
        <v>22</v>
      </c>
      <c r="G50">
        <v>1.40810833827842E-8</v>
      </c>
      <c r="H50" t="s">
        <v>42</v>
      </c>
      <c r="I50" t="s">
        <v>51</v>
      </c>
      <c r="J50" t="s">
        <v>1650</v>
      </c>
    </row>
    <row r="51" spans="1:10" x14ac:dyDescent="0.2">
      <c r="A51">
        <v>0</v>
      </c>
      <c r="B51">
        <v>1.9961962069595999E-14</v>
      </c>
      <c r="C51">
        <v>2</v>
      </c>
      <c r="D51">
        <v>1864</v>
      </c>
      <c r="E51" t="s">
        <v>74</v>
      </c>
      <c r="F51" t="s">
        <v>75</v>
      </c>
      <c r="G51">
        <v>2.4433441573185499E-11</v>
      </c>
      <c r="H51" t="s">
        <v>42</v>
      </c>
      <c r="I51" t="s">
        <v>51</v>
      </c>
      <c r="J51" t="s">
        <v>1650</v>
      </c>
    </row>
    <row r="52" spans="1:10" x14ac:dyDescent="0.2">
      <c r="A52">
        <v>0</v>
      </c>
      <c r="B52">
        <v>5.0721146592484101E-5</v>
      </c>
      <c r="C52">
        <v>2</v>
      </c>
      <c r="D52">
        <v>56</v>
      </c>
      <c r="E52" t="s">
        <v>374</v>
      </c>
      <c r="F52" t="s">
        <v>375</v>
      </c>
      <c r="G52">
        <v>4.5151042493964001E-3</v>
      </c>
      <c r="H52" t="s">
        <v>42</v>
      </c>
      <c r="I52" t="s">
        <v>51</v>
      </c>
      <c r="J52" t="s">
        <v>1650</v>
      </c>
    </row>
    <row r="53" spans="1:10" x14ac:dyDescent="0.2">
      <c r="A53">
        <v>0</v>
      </c>
      <c r="B53">
        <v>6.77939458372868E-4</v>
      </c>
      <c r="C53">
        <v>5</v>
      </c>
      <c r="D53">
        <v>161</v>
      </c>
      <c r="E53" t="s">
        <v>78</v>
      </c>
      <c r="F53" t="s">
        <v>79</v>
      </c>
      <c r="G53">
        <v>3.4574912377016299E-2</v>
      </c>
      <c r="H53" t="s">
        <v>42</v>
      </c>
      <c r="I53" t="s">
        <v>51</v>
      </c>
      <c r="J53" t="s">
        <v>1650</v>
      </c>
    </row>
    <row r="54" spans="1:10" x14ac:dyDescent="0.2">
      <c r="A54">
        <v>0</v>
      </c>
      <c r="B54">
        <v>4.9179395096648099E-20</v>
      </c>
      <c r="C54">
        <v>2</v>
      </c>
      <c r="D54">
        <v>2484</v>
      </c>
      <c r="E54" t="s">
        <v>80</v>
      </c>
      <c r="F54" t="s">
        <v>81</v>
      </c>
      <c r="G54">
        <v>2.4078231839318901E-16</v>
      </c>
      <c r="H54" t="s">
        <v>42</v>
      </c>
      <c r="I54" t="s">
        <v>51</v>
      </c>
      <c r="J54" t="s">
        <v>1650</v>
      </c>
    </row>
    <row r="55" spans="1:10" x14ac:dyDescent="0.2">
      <c r="A55">
        <v>0</v>
      </c>
      <c r="B55">
        <v>6.3960952970282001E-7</v>
      </c>
      <c r="C55">
        <v>4</v>
      </c>
      <c r="D55">
        <v>456</v>
      </c>
      <c r="E55" t="s">
        <v>172</v>
      </c>
      <c r="F55" t="s">
        <v>173</v>
      </c>
      <c r="G55">
        <v>1.20443394516346E-4</v>
      </c>
      <c r="H55" t="s">
        <v>42</v>
      </c>
      <c r="I55" t="s">
        <v>51</v>
      </c>
      <c r="J55" t="s">
        <v>1650</v>
      </c>
    </row>
    <row r="56" spans="1:10" x14ac:dyDescent="0.2">
      <c r="A56">
        <v>0</v>
      </c>
      <c r="B56">
        <v>4.1099140375324002E-5</v>
      </c>
      <c r="C56">
        <v>3</v>
      </c>
      <c r="D56">
        <v>1137</v>
      </c>
      <c r="E56" t="s">
        <v>376</v>
      </c>
      <c r="F56" t="s">
        <v>377</v>
      </c>
      <c r="G56">
        <v>3.72632206069604E-3</v>
      </c>
      <c r="H56" t="s">
        <v>42</v>
      </c>
      <c r="I56" t="s">
        <v>51</v>
      </c>
      <c r="J56" t="s">
        <v>1650</v>
      </c>
    </row>
    <row r="57" spans="1:10" x14ac:dyDescent="0.2">
      <c r="A57">
        <v>0</v>
      </c>
      <c r="B57">
        <v>7.0596494648984896E-4</v>
      </c>
      <c r="C57">
        <v>3</v>
      </c>
      <c r="D57">
        <v>162</v>
      </c>
      <c r="E57" t="s">
        <v>378</v>
      </c>
      <c r="F57" t="s">
        <v>379</v>
      </c>
      <c r="G57">
        <v>3.5269432428717398E-2</v>
      </c>
      <c r="H57" t="s">
        <v>42</v>
      </c>
      <c r="I57" t="s">
        <v>51</v>
      </c>
      <c r="J57" t="s">
        <v>1650</v>
      </c>
    </row>
    <row r="58" spans="1:10" x14ac:dyDescent="0.2">
      <c r="A58">
        <v>0</v>
      </c>
      <c r="B58">
        <v>9.1881137910590602E-4</v>
      </c>
      <c r="C58">
        <v>2</v>
      </c>
      <c r="D58">
        <v>37</v>
      </c>
      <c r="E58" t="s">
        <v>380</v>
      </c>
      <c r="F58" t="s">
        <v>381</v>
      </c>
      <c r="G58">
        <v>4.2934155798111301E-2</v>
      </c>
      <c r="H58" t="s">
        <v>42</v>
      </c>
      <c r="I58" t="s">
        <v>51</v>
      </c>
      <c r="J58" t="s">
        <v>1650</v>
      </c>
    </row>
    <row r="59" spans="1:10" x14ac:dyDescent="0.2">
      <c r="A59">
        <v>0</v>
      </c>
      <c r="B59">
        <v>2.5978586106457799E-10</v>
      </c>
      <c r="C59">
        <v>3</v>
      </c>
      <c r="D59">
        <v>3133</v>
      </c>
      <c r="E59" t="s">
        <v>174</v>
      </c>
      <c r="F59" t="s">
        <v>175</v>
      </c>
      <c r="G59">
        <v>1.15628325070198E-7</v>
      </c>
      <c r="H59" t="s">
        <v>42</v>
      </c>
      <c r="I59" t="s">
        <v>51</v>
      </c>
      <c r="J59" t="s">
        <v>1650</v>
      </c>
    </row>
    <row r="60" spans="1:10" x14ac:dyDescent="0.2">
      <c r="A60">
        <v>0</v>
      </c>
      <c r="B60">
        <v>6.1362935958970705E-4</v>
      </c>
      <c r="C60">
        <v>2</v>
      </c>
      <c r="D60">
        <v>581</v>
      </c>
      <c r="E60" t="s">
        <v>176</v>
      </c>
      <c r="F60" t="s">
        <v>177</v>
      </c>
      <c r="G60">
        <v>3.30146081818814E-2</v>
      </c>
      <c r="H60" t="s">
        <v>42</v>
      </c>
      <c r="I60" t="s">
        <v>51</v>
      </c>
      <c r="J60" t="s">
        <v>1650</v>
      </c>
    </row>
    <row r="61" spans="1:10" x14ac:dyDescent="0.2">
      <c r="A61">
        <v>0</v>
      </c>
      <c r="B61">
        <v>1.3033456344802901E-5</v>
      </c>
      <c r="C61">
        <v>3</v>
      </c>
      <c r="D61">
        <v>3675</v>
      </c>
      <c r="E61" t="s">
        <v>382</v>
      </c>
      <c r="F61" t="s">
        <v>383</v>
      </c>
      <c r="G61">
        <v>1.5193286253370199E-3</v>
      </c>
      <c r="H61" t="s">
        <v>42</v>
      </c>
      <c r="I61" t="s">
        <v>51</v>
      </c>
      <c r="J61" t="s">
        <v>1658</v>
      </c>
    </row>
    <row r="62" spans="1:10" x14ac:dyDescent="0.2">
      <c r="A62">
        <v>0</v>
      </c>
      <c r="B62">
        <v>1.26200439831407E-8</v>
      </c>
      <c r="C62">
        <v>2</v>
      </c>
      <c r="D62">
        <v>809</v>
      </c>
      <c r="E62" t="s">
        <v>180</v>
      </c>
      <c r="F62" t="s">
        <v>181</v>
      </c>
      <c r="G62">
        <v>4.1191823560971202E-6</v>
      </c>
      <c r="H62" t="s">
        <v>42</v>
      </c>
      <c r="I62" t="s">
        <v>51</v>
      </c>
      <c r="J62" t="s">
        <v>1655</v>
      </c>
    </row>
    <row r="63" spans="1:10" x14ac:dyDescent="0.2">
      <c r="A63">
        <v>0</v>
      </c>
      <c r="B63">
        <v>6.9805805108321696E-6</v>
      </c>
      <c r="C63">
        <v>1</v>
      </c>
      <c r="D63">
        <v>1142</v>
      </c>
      <c r="E63" t="s">
        <v>184</v>
      </c>
      <c r="F63" t="s">
        <v>185</v>
      </c>
      <c r="G63">
        <v>9.2370059948741398E-4</v>
      </c>
      <c r="H63" t="s">
        <v>42</v>
      </c>
      <c r="I63" t="s">
        <v>51</v>
      </c>
      <c r="J63" t="s">
        <v>1650</v>
      </c>
    </row>
    <row r="64" spans="1:10" x14ac:dyDescent="0.2">
      <c r="A64">
        <v>0</v>
      </c>
      <c r="B64">
        <v>1.3645549066516099E-4</v>
      </c>
      <c r="C64">
        <v>2</v>
      </c>
      <c r="D64">
        <v>2205</v>
      </c>
      <c r="E64" t="s">
        <v>186</v>
      </c>
      <c r="F64" t="s">
        <v>187</v>
      </c>
      <c r="G64">
        <v>9.8247953278915896E-3</v>
      </c>
      <c r="H64" t="s">
        <v>42</v>
      </c>
      <c r="I64" t="s">
        <v>51</v>
      </c>
      <c r="J64" t="s">
        <v>1650</v>
      </c>
    </row>
    <row r="65" spans="1:10" x14ac:dyDescent="0.2">
      <c r="A65">
        <v>0</v>
      </c>
      <c r="B65">
        <v>3.8399464608746301E-5</v>
      </c>
      <c r="C65">
        <v>4</v>
      </c>
      <c r="D65">
        <v>78</v>
      </c>
      <c r="E65" t="s">
        <v>384</v>
      </c>
      <c r="F65" t="s">
        <v>385</v>
      </c>
      <c r="G65">
        <v>3.5472411080079598E-3</v>
      </c>
      <c r="H65" t="s">
        <v>42</v>
      </c>
      <c r="I65" t="s">
        <v>51</v>
      </c>
      <c r="J65" t="s">
        <v>1650</v>
      </c>
    </row>
    <row r="66" spans="1:10" x14ac:dyDescent="0.2">
      <c r="A66">
        <v>0</v>
      </c>
      <c r="B66">
        <v>1.03418900602355E-4</v>
      </c>
      <c r="C66">
        <v>3</v>
      </c>
      <c r="D66">
        <v>122</v>
      </c>
      <c r="E66" t="s">
        <v>188</v>
      </c>
      <c r="F66" t="s">
        <v>189</v>
      </c>
      <c r="G66">
        <v>8.2056246852698998E-3</v>
      </c>
      <c r="H66" t="s">
        <v>42</v>
      </c>
      <c r="I66" t="s">
        <v>51</v>
      </c>
      <c r="J66" t="s">
        <v>1650</v>
      </c>
    </row>
    <row r="67" spans="1:10" x14ac:dyDescent="0.2">
      <c r="A67">
        <v>0</v>
      </c>
      <c r="B67">
        <v>4.2392668205844502E-4</v>
      </c>
      <c r="C67">
        <v>2</v>
      </c>
      <c r="D67">
        <v>13</v>
      </c>
      <c r="E67" t="s">
        <v>386</v>
      </c>
      <c r="F67" t="s">
        <v>387</v>
      </c>
      <c r="G67">
        <v>2.5006566691062E-2</v>
      </c>
      <c r="H67" t="s">
        <v>42</v>
      </c>
      <c r="I67" t="s">
        <v>51</v>
      </c>
      <c r="J67" t="s">
        <v>1657</v>
      </c>
    </row>
    <row r="68" spans="1:10" x14ac:dyDescent="0.2">
      <c r="A68">
        <v>0</v>
      </c>
      <c r="B68">
        <v>9.4599961467770001E-4</v>
      </c>
      <c r="C68">
        <v>2</v>
      </c>
      <c r="D68">
        <v>771</v>
      </c>
      <c r="E68" t="s">
        <v>388</v>
      </c>
      <c r="F68" t="s">
        <v>389</v>
      </c>
      <c r="G68">
        <v>4.3694472768509601E-2</v>
      </c>
      <c r="H68" t="s">
        <v>42</v>
      </c>
      <c r="I68" t="s">
        <v>51</v>
      </c>
      <c r="J68" t="s">
        <v>1650</v>
      </c>
    </row>
    <row r="69" spans="1:10" x14ac:dyDescent="0.2">
      <c r="A69">
        <v>0</v>
      </c>
      <c r="B69">
        <v>4.51560157136466E-4</v>
      </c>
      <c r="C69">
        <v>2</v>
      </c>
      <c r="D69">
        <v>83</v>
      </c>
      <c r="E69" t="s">
        <v>200</v>
      </c>
      <c r="F69" t="s">
        <v>201</v>
      </c>
      <c r="G69">
        <v>2.6009865051060399E-2</v>
      </c>
      <c r="H69" t="s">
        <v>42</v>
      </c>
      <c r="I69" t="s">
        <v>51</v>
      </c>
      <c r="J69" t="s">
        <v>1650</v>
      </c>
    </row>
    <row r="70" spans="1:10" x14ac:dyDescent="0.2">
      <c r="A70">
        <v>0</v>
      </c>
      <c r="B70">
        <v>9.7664435914609094E-4</v>
      </c>
      <c r="C70">
        <v>3</v>
      </c>
      <c r="D70">
        <v>2082</v>
      </c>
      <c r="E70" t="s">
        <v>206</v>
      </c>
      <c r="F70" t="s">
        <v>207</v>
      </c>
      <c r="G70">
        <v>4.4478003079097203E-2</v>
      </c>
      <c r="H70" t="s">
        <v>42</v>
      </c>
      <c r="I70" t="s">
        <v>51</v>
      </c>
      <c r="J70" t="s">
        <v>1658</v>
      </c>
    </row>
    <row r="71" spans="1:10" x14ac:dyDescent="0.2">
      <c r="A71">
        <v>0</v>
      </c>
      <c r="B71">
        <v>2.9122293232387299E-5</v>
      </c>
      <c r="C71">
        <v>2</v>
      </c>
      <c r="D71">
        <v>238</v>
      </c>
      <c r="E71" t="s">
        <v>390</v>
      </c>
      <c r="F71" t="s">
        <v>391</v>
      </c>
      <c r="G71">
        <v>2.7999528988027901E-3</v>
      </c>
      <c r="H71" t="s">
        <v>42</v>
      </c>
      <c r="I71" t="s">
        <v>51</v>
      </c>
      <c r="J71" t="s">
        <v>1650</v>
      </c>
    </row>
    <row r="72" spans="1:10" x14ac:dyDescent="0.2">
      <c r="A72">
        <v>0</v>
      </c>
      <c r="B72">
        <v>1.38871767327815E-4</v>
      </c>
      <c r="C72">
        <v>5</v>
      </c>
      <c r="D72">
        <v>822</v>
      </c>
      <c r="E72" t="s">
        <v>218</v>
      </c>
      <c r="F72" t="s">
        <v>219</v>
      </c>
      <c r="G72">
        <v>9.8538575773475696E-3</v>
      </c>
      <c r="H72" t="s">
        <v>42</v>
      </c>
      <c r="I72" t="s">
        <v>51</v>
      </c>
      <c r="J72" t="s">
        <v>1650</v>
      </c>
    </row>
    <row r="73" spans="1:10" x14ac:dyDescent="0.2">
      <c r="A73">
        <v>0</v>
      </c>
      <c r="B73">
        <v>1.4504017256660999E-4</v>
      </c>
      <c r="C73">
        <v>2</v>
      </c>
      <c r="D73">
        <v>163</v>
      </c>
      <c r="E73" t="s">
        <v>392</v>
      </c>
      <c r="F73" t="s">
        <v>393</v>
      </c>
      <c r="G73">
        <v>1.00016434491003E-2</v>
      </c>
      <c r="H73" t="s">
        <v>42</v>
      </c>
      <c r="I73" t="s">
        <v>51</v>
      </c>
      <c r="J73" t="s">
        <v>1650</v>
      </c>
    </row>
    <row r="74" spans="1:10" x14ac:dyDescent="0.2">
      <c r="A74">
        <v>0</v>
      </c>
      <c r="B74">
        <v>3.7077522667012999E-7</v>
      </c>
      <c r="C74">
        <v>2</v>
      </c>
      <c r="D74">
        <v>361</v>
      </c>
      <c r="E74" t="s">
        <v>394</v>
      </c>
      <c r="F74" t="s">
        <v>395</v>
      </c>
      <c r="G74">
        <v>7.8926761294650295E-5</v>
      </c>
      <c r="H74" t="s">
        <v>42</v>
      </c>
      <c r="I74" t="s">
        <v>51</v>
      </c>
      <c r="J74" t="s">
        <v>1650</v>
      </c>
    </row>
    <row r="75" spans="1:10" x14ac:dyDescent="0.2">
      <c r="A75">
        <v>0</v>
      </c>
      <c r="B75">
        <v>7.9170644920156306E-6</v>
      </c>
      <c r="C75">
        <v>2</v>
      </c>
      <c r="D75">
        <v>1372</v>
      </c>
      <c r="E75" t="s">
        <v>222</v>
      </c>
      <c r="F75" t="s">
        <v>223</v>
      </c>
      <c r="G75">
        <v>1.0200512566554899E-3</v>
      </c>
      <c r="H75" t="s">
        <v>42</v>
      </c>
      <c r="I75" t="s">
        <v>51</v>
      </c>
      <c r="J75" t="s">
        <v>1650</v>
      </c>
    </row>
    <row r="76" spans="1:10" x14ac:dyDescent="0.2">
      <c r="A76">
        <v>0</v>
      </c>
      <c r="B76">
        <v>1.94378778630681E-6</v>
      </c>
      <c r="C76">
        <v>2</v>
      </c>
      <c r="D76">
        <v>287</v>
      </c>
      <c r="E76" t="s">
        <v>319</v>
      </c>
      <c r="F76" t="s">
        <v>320</v>
      </c>
      <c r="G76">
        <v>2.9739953130494199E-4</v>
      </c>
      <c r="H76" t="s">
        <v>42</v>
      </c>
      <c r="I76" t="s">
        <v>51</v>
      </c>
      <c r="J76" t="s">
        <v>1650</v>
      </c>
    </row>
    <row r="77" spans="1:10" x14ac:dyDescent="0.2">
      <c r="A77">
        <v>0</v>
      </c>
      <c r="B77">
        <v>2.8888353721928401E-5</v>
      </c>
      <c r="C77">
        <v>3</v>
      </c>
      <c r="D77">
        <v>102</v>
      </c>
      <c r="E77" t="s">
        <v>86</v>
      </c>
      <c r="F77" t="s">
        <v>87</v>
      </c>
      <c r="G77">
        <v>2.7999528988027901E-3</v>
      </c>
      <c r="H77" t="s">
        <v>42</v>
      </c>
      <c r="I77" t="s">
        <v>51</v>
      </c>
      <c r="J77" t="s">
        <v>1650</v>
      </c>
    </row>
    <row r="78" spans="1:10" x14ac:dyDescent="0.2">
      <c r="A78">
        <v>0</v>
      </c>
      <c r="B78">
        <v>2.96293296243216E-6</v>
      </c>
      <c r="C78">
        <v>4</v>
      </c>
      <c r="D78">
        <v>689</v>
      </c>
      <c r="E78" t="s">
        <v>396</v>
      </c>
      <c r="F78" t="s">
        <v>397</v>
      </c>
      <c r="G78">
        <v>4.2666234659023098E-4</v>
      </c>
      <c r="H78" t="s">
        <v>42</v>
      </c>
      <c r="I78" t="s">
        <v>51</v>
      </c>
      <c r="J78" t="s">
        <v>1650</v>
      </c>
    </row>
    <row r="79" spans="1:10" x14ac:dyDescent="0.2">
      <c r="A79">
        <v>0</v>
      </c>
      <c r="B79">
        <v>2.70962428428648E-4</v>
      </c>
      <c r="C79">
        <v>2</v>
      </c>
      <c r="D79">
        <v>644</v>
      </c>
      <c r="E79" t="s">
        <v>398</v>
      </c>
      <c r="F79" t="s">
        <v>399</v>
      </c>
      <c r="G79">
        <v>1.6792810754261499E-2</v>
      </c>
      <c r="H79" t="s">
        <v>42</v>
      </c>
      <c r="I79" t="s">
        <v>51</v>
      </c>
      <c r="J79" t="s">
        <v>1650</v>
      </c>
    </row>
    <row r="80" spans="1:10" x14ac:dyDescent="0.2">
      <c r="A80">
        <v>0</v>
      </c>
      <c r="B80">
        <v>2.61094580294973E-6</v>
      </c>
      <c r="C80">
        <v>3</v>
      </c>
      <c r="D80">
        <v>500</v>
      </c>
      <c r="E80" t="s">
        <v>321</v>
      </c>
      <c r="F80" t="s">
        <v>322</v>
      </c>
      <c r="G80">
        <v>3.8736941367399598E-4</v>
      </c>
      <c r="H80" t="s">
        <v>42</v>
      </c>
      <c r="I80" t="s">
        <v>51</v>
      </c>
      <c r="J80" t="s">
        <v>1650</v>
      </c>
    </row>
    <row r="81" spans="1:10" x14ac:dyDescent="0.2">
      <c r="A81">
        <v>0</v>
      </c>
      <c r="B81">
        <v>5.9077392952517997E-4</v>
      </c>
      <c r="C81">
        <v>5</v>
      </c>
      <c r="D81">
        <v>33</v>
      </c>
      <c r="E81" t="s">
        <v>226</v>
      </c>
      <c r="F81" t="s">
        <v>227</v>
      </c>
      <c r="G81">
        <v>3.2138101766169803E-2</v>
      </c>
      <c r="H81" t="s">
        <v>42</v>
      </c>
      <c r="I81" t="s">
        <v>51</v>
      </c>
      <c r="J81" t="s">
        <v>1650</v>
      </c>
    </row>
    <row r="82" spans="1:10" x14ac:dyDescent="0.2">
      <c r="A82">
        <v>0</v>
      </c>
      <c r="B82">
        <v>2.7927543296232598E-4</v>
      </c>
      <c r="C82">
        <v>2</v>
      </c>
      <c r="D82">
        <v>259</v>
      </c>
      <c r="E82" t="s">
        <v>400</v>
      </c>
      <c r="F82" t="s">
        <v>401</v>
      </c>
      <c r="G82">
        <v>1.70916564972944E-2</v>
      </c>
      <c r="H82" t="s">
        <v>42</v>
      </c>
      <c r="I82" t="s">
        <v>51</v>
      </c>
      <c r="J82" t="s">
        <v>1658</v>
      </c>
    </row>
    <row r="83" spans="1:10" x14ac:dyDescent="0.2">
      <c r="A83">
        <v>0</v>
      </c>
      <c r="B83">
        <v>5.2400358259412202E-4</v>
      </c>
      <c r="C83">
        <v>2</v>
      </c>
      <c r="D83">
        <v>32</v>
      </c>
      <c r="E83" t="s">
        <v>402</v>
      </c>
      <c r="F83" t="s">
        <v>403</v>
      </c>
      <c r="G83">
        <v>2.9488753337710599E-2</v>
      </c>
      <c r="H83" t="s">
        <v>42</v>
      </c>
      <c r="I83" t="s">
        <v>51</v>
      </c>
      <c r="J83" t="s">
        <v>1650</v>
      </c>
    </row>
    <row r="84" spans="1:10" x14ac:dyDescent="0.2">
      <c r="A84">
        <v>0</v>
      </c>
      <c r="B84">
        <v>1.15776977919881E-3</v>
      </c>
      <c r="C84">
        <v>2</v>
      </c>
      <c r="D84">
        <v>18</v>
      </c>
      <c r="E84" t="s">
        <v>404</v>
      </c>
      <c r="F84" t="s">
        <v>405</v>
      </c>
      <c r="G84">
        <v>4.97784693516716E-2</v>
      </c>
      <c r="H84" t="s">
        <v>42</v>
      </c>
      <c r="I84" t="s">
        <v>51</v>
      </c>
      <c r="J84" t="s">
        <v>1650</v>
      </c>
    </row>
    <row r="85" spans="1:10" x14ac:dyDescent="0.2">
      <c r="A85">
        <v>0</v>
      </c>
      <c r="B85">
        <v>4.2392668205844502E-4</v>
      </c>
      <c r="C85">
        <v>2</v>
      </c>
      <c r="D85">
        <v>13</v>
      </c>
      <c r="E85" t="s">
        <v>406</v>
      </c>
      <c r="F85" t="s">
        <v>407</v>
      </c>
      <c r="G85">
        <v>2.5006566691062E-2</v>
      </c>
      <c r="H85" t="s">
        <v>42</v>
      </c>
      <c r="I85" t="s">
        <v>51</v>
      </c>
      <c r="J85" t="s">
        <v>1657</v>
      </c>
    </row>
    <row r="86" spans="1:10" x14ac:dyDescent="0.2">
      <c r="A86">
        <v>0</v>
      </c>
      <c r="B86">
        <v>1.6424037312912199E-4</v>
      </c>
      <c r="C86">
        <v>2</v>
      </c>
      <c r="D86">
        <v>44</v>
      </c>
      <c r="E86" t="s">
        <v>408</v>
      </c>
      <c r="F86" t="s">
        <v>409</v>
      </c>
      <c r="G86">
        <v>1.1069437286867901E-2</v>
      </c>
      <c r="H86" t="s">
        <v>42</v>
      </c>
      <c r="I86" t="s">
        <v>51</v>
      </c>
      <c r="J86" t="s">
        <v>1650</v>
      </c>
    </row>
    <row r="87" spans="1:10" x14ac:dyDescent="0.2">
      <c r="A87">
        <v>0</v>
      </c>
      <c r="B87">
        <v>9.0740930373351802E-4</v>
      </c>
      <c r="C87">
        <v>3</v>
      </c>
      <c r="D87">
        <v>253</v>
      </c>
      <c r="E87" t="s">
        <v>238</v>
      </c>
      <c r="F87" t="s">
        <v>239</v>
      </c>
      <c r="G87">
        <v>4.2934155798111301E-2</v>
      </c>
      <c r="H87" t="s">
        <v>42</v>
      </c>
      <c r="I87" t="s">
        <v>51</v>
      </c>
      <c r="J87" t="s">
        <v>1655</v>
      </c>
    </row>
    <row r="88" spans="1:10" x14ac:dyDescent="0.2">
      <c r="A88">
        <v>0</v>
      </c>
      <c r="B88">
        <v>1.4473389993299799E-4</v>
      </c>
      <c r="C88">
        <v>2</v>
      </c>
      <c r="D88">
        <v>240</v>
      </c>
      <c r="E88" t="s">
        <v>410</v>
      </c>
      <c r="F88" t="s">
        <v>411</v>
      </c>
      <c r="G88">
        <v>1.00016434491003E-2</v>
      </c>
      <c r="H88" t="s">
        <v>42</v>
      </c>
      <c r="I88" t="s">
        <v>51</v>
      </c>
      <c r="J88" t="s">
        <v>1655</v>
      </c>
    </row>
    <row r="89" spans="1:10" x14ac:dyDescent="0.2">
      <c r="A89">
        <v>0</v>
      </c>
      <c r="B89">
        <v>2.3033653765023001E-4</v>
      </c>
      <c r="C89">
        <v>2</v>
      </c>
      <c r="D89">
        <v>26</v>
      </c>
      <c r="E89" t="s">
        <v>412</v>
      </c>
      <c r="F89" t="s">
        <v>413</v>
      </c>
      <c r="G89">
        <v>1.4838522214941099E-2</v>
      </c>
      <c r="H89" t="s">
        <v>42</v>
      </c>
      <c r="I89" t="s">
        <v>51</v>
      </c>
      <c r="J89" t="s">
        <v>1650</v>
      </c>
    </row>
    <row r="90" spans="1:10" x14ac:dyDescent="0.2">
      <c r="A90">
        <v>0</v>
      </c>
      <c r="B90">
        <v>5.0043822743319102E-11</v>
      </c>
      <c r="C90">
        <v>2</v>
      </c>
      <c r="D90">
        <v>805</v>
      </c>
      <c r="E90" t="s">
        <v>88</v>
      </c>
      <c r="F90" t="s">
        <v>89</v>
      </c>
      <c r="G90">
        <v>2.7223839572365601E-8</v>
      </c>
      <c r="H90" t="s">
        <v>42</v>
      </c>
      <c r="I90" t="s">
        <v>51</v>
      </c>
      <c r="J90" t="s">
        <v>1650</v>
      </c>
    </row>
    <row r="91" spans="1:10" x14ac:dyDescent="0.2">
      <c r="A91">
        <v>0</v>
      </c>
      <c r="B91">
        <v>1.3110125502717699E-10</v>
      </c>
      <c r="C91">
        <v>4</v>
      </c>
      <c r="D91">
        <v>1391</v>
      </c>
      <c r="E91" t="s">
        <v>242</v>
      </c>
      <c r="F91" t="s">
        <v>243</v>
      </c>
      <c r="G91">
        <v>6.4187174461305896E-8</v>
      </c>
      <c r="H91" t="s">
        <v>42</v>
      </c>
      <c r="I91" t="s">
        <v>51</v>
      </c>
      <c r="J91" t="s">
        <v>1650</v>
      </c>
    </row>
    <row r="92" spans="1:10" x14ac:dyDescent="0.2">
      <c r="A92">
        <v>0</v>
      </c>
      <c r="B92">
        <v>1.6667468529224301E-6</v>
      </c>
      <c r="C92">
        <v>2</v>
      </c>
      <c r="D92">
        <v>18</v>
      </c>
      <c r="E92" t="s">
        <v>414</v>
      </c>
      <c r="F92" t="s">
        <v>415</v>
      </c>
      <c r="G92">
        <v>2.6323847070671699E-4</v>
      </c>
      <c r="H92" t="s">
        <v>42</v>
      </c>
      <c r="I92" t="s">
        <v>51</v>
      </c>
      <c r="J92" t="s">
        <v>1650</v>
      </c>
    </row>
    <row r="93" spans="1:10" x14ac:dyDescent="0.2">
      <c r="A93">
        <v>0</v>
      </c>
      <c r="B93">
        <v>3.8502195597323502E-4</v>
      </c>
      <c r="C93">
        <v>4</v>
      </c>
      <c r="D93">
        <v>456</v>
      </c>
      <c r="E93" t="s">
        <v>416</v>
      </c>
      <c r="F93" t="s">
        <v>417</v>
      </c>
      <c r="G93">
        <v>2.3272438227715499E-2</v>
      </c>
      <c r="H93" t="s">
        <v>42</v>
      </c>
      <c r="I93" t="s">
        <v>51</v>
      </c>
      <c r="J93" t="s">
        <v>1650</v>
      </c>
    </row>
    <row r="94" spans="1:10" x14ac:dyDescent="0.2">
      <c r="A94">
        <v>0</v>
      </c>
      <c r="B94">
        <v>1.4860496400327199E-6</v>
      </c>
      <c r="C94">
        <v>3</v>
      </c>
      <c r="D94">
        <v>709</v>
      </c>
      <c r="E94" t="s">
        <v>246</v>
      </c>
      <c r="F94" t="s">
        <v>247</v>
      </c>
      <c r="G94">
        <v>2.43804597264732E-4</v>
      </c>
      <c r="H94" t="s">
        <v>42</v>
      </c>
      <c r="I94" t="s">
        <v>51</v>
      </c>
      <c r="J94" t="s">
        <v>1650</v>
      </c>
    </row>
    <row r="95" spans="1:10" x14ac:dyDescent="0.2">
      <c r="A95">
        <v>0</v>
      </c>
      <c r="B95">
        <v>1.2895504848194601E-4</v>
      </c>
      <c r="C95">
        <v>4</v>
      </c>
      <c r="D95">
        <v>9</v>
      </c>
      <c r="E95" t="s">
        <v>418</v>
      </c>
      <c r="F95" t="s">
        <v>419</v>
      </c>
      <c r="G95">
        <v>9.5661199601152699E-3</v>
      </c>
      <c r="H95" t="s">
        <v>42</v>
      </c>
      <c r="I95" t="s">
        <v>51</v>
      </c>
      <c r="J95" t="s">
        <v>1650</v>
      </c>
    </row>
    <row r="96" spans="1:10" x14ac:dyDescent="0.2">
      <c r="A96">
        <v>0</v>
      </c>
      <c r="B96">
        <v>1.3127073666108899E-4</v>
      </c>
      <c r="C96">
        <v>2</v>
      </c>
      <c r="D96">
        <v>198</v>
      </c>
      <c r="E96" t="s">
        <v>420</v>
      </c>
      <c r="F96" t="s">
        <v>421</v>
      </c>
      <c r="G96">
        <v>9.5925600998909202E-3</v>
      </c>
      <c r="H96" t="s">
        <v>42</v>
      </c>
      <c r="I96" t="s">
        <v>51</v>
      </c>
      <c r="J96" t="s">
        <v>1657</v>
      </c>
    </row>
    <row r="97" spans="1:10" x14ac:dyDescent="0.2">
      <c r="A97">
        <v>0</v>
      </c>
      <c r="B97">
        <v>3.3090031054661897E-5</v>
      </c>
      <c r="C97">
        <v>6</v>
      </c>
      <c r="D97">
        <v>52</v>
      </c>
      <c r="E97" t="s">
        <v>90</v>
      </c>
      <c r="F97" t="s">
        <v>91</v>
      </c>
      <c r="G97">
        <v>3.11555369314663E-3</v>
      </c>
      <c r="H97" t="s">
        <v>42</v>
      </c>
      <c r="I97" t="s">
        <v>51</v>
      </c>
      <c r="J97" t="s">
        <v>1650</v>
      </c>
    </row>
    <row r="98" spans="1:10" x14ac:dyDescent="0.2">
      <c r="A98">
        <v>0</v>
      </c>
      <c r="B98">
        <v>4.49652960667969E-8</v>
      </c>
      <c r="C98">
        <v>2</v>
      </c>
      <c r="D98">
        <v>3714</v>
      </c>
      <c r="E98" t="s">
        <v>94</v>
      </c>
      <c r="F98" t="s">
        <v>95</v>
      </c>
      <c r="G98">
        <v>1.15868468180546E-5</v>
      </c>
      <c r="H98" t="s">
        <v>42</v>
      </c>
      <c r="I98" t="s">
        <v>51</v>
      </c>
      <c r="J98" t="s">
        <v>1650</v>
      </c>
    </row>
    <row r="99" spans="1:10" x14ac:dyDescent="0.2">
      <c r="A99">
        <v>0</v>
      </c>
      <c r="B99">
        <v>7.8506027104377897E-4</v>
      </c>
      <c r="C99">
        <v>3</v>
      </c>
      <c r="D99">
        <v>3848</v>
      </c>
      <c r="E99" t="s">
        <v>422</v>
      </c>
      <c r="F99" t="s">
        <v>423</v>
      </c>
      <c r="G99">
        <v>3.8436550870303399E-2</v>
      </c>
      <c r="H99" t="s">
        <v>42</v>
      </c>
      <c r="I99" t="s">
        <v>51</v>
      </c>
      <c r="J99" t="s">
        <v>1650</v>
      </c>
    </row>
    <row r="100" spans="1:10" x14ac:dyDescent="0.2">
      <c r="A100">
        <v>0</v>
      </c>
      <c r="B100">
        <v>1.00257566860365E-3</v>
      </c>
      <c r="C100">
        <v>3</v>
      </c>
      <c r="D100">
        <v>171</v>
      </c>
      <c r="E100" t="s">
        <v>424</v>
      </c>
      <c r="F100" t="s">
        <v>425</v>
      </c>
      <c r="G100">
        <v>4.4623731577122502E-2</v>
      </c>
      <c r="H100" t="s">
        <v>42</v>
      </c>
      <c r="I100" t="s">
        <v>51</v>
      </c>
      <c r="J100" t="s">
        <v>1650</v>
      </c>
    </row>
    <row r="101" spans="1:10" x14ac:dyDescent="0.2">
      <c r="A101">
        <v>0</v>
      </c>
      <c r="B101">
        <v>6.8918132193856595E-4</v>
      </c>
      <c r="C101">
        <v>3</v>
      </c>
      <c r="D101">
        <v>124</v>
      </c>
      <c r="E101" t="s">
        <v>96</v>
      </c>
      <c r="F101" t="s">
        <v>426</v>
      </c>
      <c r="G101">
        <v>3.4785894352692998E-2</v>
      </c>
      <c r="H101" t="s">
        <v>42</v>
      </c>
      <c r="I101" t="s">
        <v>51</v>
      </c>
      <c r="J101" t="s">
        <v>1650</v>
      </c>
    </row>
    <row r="102" spans="1:10" x14ac:dyDescent="0.2">
      <c r="A102">
        <v>0</v>
      </c>
      <c r="B102">
        <v>2.5360806078978299E-9</v>
      </c>
      <c r="C102">
        <v>3</v>
      </c>
      <c r="D102">
        <v>292</v>
      </c>
      <c r="E102" t="s">
        <v>427</v>
      </c>
      <c r="F102" t="s">
        <v>428</v>
      </c>
      <c r="G102">
        <v>9.5512697355906004E-7</v>
      </c>
      <c r="H102" t="s">
        <v>42</v>
      </c>
      <c r="I102" t="s">
        <v>51</v>
      </c>
      <c r="J102" t="s">
        <v>1650</v>
      </c>
    </row>
    <row r="103" spans="1:10" x14ac:dyDescent="0.2">
      <c r="A103">
        <v>0</v>
      </c>
      <c r="B103">
        <v>3.5965605343332E-9</v>
      </c>
      <c r="C103">
        <v>4</v>
      </c>
      <c r="D103">
        <v>126</v>
      </c>
      <c r="E103" t="s">
        <v>429</v>
      </c>
      <c r="F103" t="s">
        <v>430</v>
      </c>
      <c r="G103">
        <v>1.2577685982925199E-6</v>
      </c>
      <c r="H103" t="s">
        <v>42</v>
      </c>
      <c r="I103" t="s">
        <v>51</v>
      </c>
      <c r="J103" t="s">
        <v>1650</v>
      </c>
    </row>
    <row r="104" spans="1:10" x14ac:dyDescent="0.2">
      <c r="A104">
        <v>0</v>
      </c>
      <c r="B104">
        <v>4.70010018460694E-4</v>
      </c>
      <c r="C104">
        <v>4</v>
      </c>
      <c r="D104">
        <v>1811</v>
      </c>
      <c r="E104" t="s">
        <v>431</v>
      </c>
      <c r="F104" t="s">
        <v>432</v>
      </c>
      <c r="G104">
        <v>2.6757779655622801E-2</v>
      </c>
      <c r="H104" t="s">
        <v>42</v>
      </c>
      <c r="I104" t="s">
        <v>51</v>
      </c>
      <c r="J104" t="s">
        <v>1650</v>
      </c>
    </row>
    <row r="105" spans="1:10" x14ac:dyDescent="0.2">
      <c r="A105">
        <v>0</v>
      </c>
      <c r="B105">
        <v>3.5300048812088698E-7</v>
      </c>
      <c r="C105">
        <v>2</v>
      </c>
      <c r="D105">
        <v>322</v>
      </c>
      <c r="E105" t="s">
        <v>266</v>
      </c>
      <c r="F105" t="s">
        <v>267</v>
      </c>
      <c r="G105">
        <v>7.8558654083630102E-5</v>
      </c>
      <c r="H105" t="s">
        <v>42</v>
      </c>
      <c r="I105" t="s">
        <v>51</v>
      </c>
      <c r="J105" t="s">
        <v>1650</v>
      </c>
    </row>
    <row r="106" spans="1:10" x14ac:dyDescent="0.2">
      <c r="A106">
        <v>0</v>
      </c>
      <c r="B106">
        <v>9.2076927263106398E-4</v>
      </c>
      <c r="C106">
        <v>2</v>
      </c>
      <c r="D106">
        <v>299</v>
      </c>
      <c r="E106" t="s">
        <v>433</v>
      </c>
      <c r="F106" t="s">
        <v>434</v>
      </c>
      <c r="G106">
        <v>4.2934155798111301E-2</v>
      </c>
      <c r="H106" t="s">
        <v>42</v>
      </c>
      <c r="I106" t="s">
        <v>51</v>
      </c>
      <c r="J106" t="s">
        <v>1650</v>
      </c>
    </row>
    <row r="107" spans="1:10" x14ac:dyDescent="0.2">
      <c r="A107">
        <v>0</v>
      </c>
      <c r="B107">
        <v>1.5963660213212099E-5</v>
      </c>
      <c r="C107">
        <v>2</v>
      </c>
      <c r="D107">
        <v>1534</v>
      </c>
      <c r="E107" t="s">
        <v>272</v>
      </c>
      <c r="F107" t="s">
        <v>273</v>
      </c>
      <c r="G107">
        <v>1.73684623119748E-3</v>
      </c>
      <c r="H107" t="s">
        <v>42</v>
      </c>
      <c r="I107" t="s">
        <v>51</v>
      </c>
      <c r="J107" t="s">
        <v>1650</v>
      </c>
    </row>
    <row r="108" spans="1:10" x14ac:dyDescent="0.2">
      <c r="A108">
        <v>0</v>
      </c>
      <c r="B108">
        <v>6.3470961655674903E-4</v>
      </c>
      <c r="C108">
        <v>2</v>
      </c>
      <c r="D108">
        <v>2772</v>
      </c>
      <c r="E108" t="s">
        <v>98</v>
      </c>
      <c r="F108" t="s">
        <v>99</v>
      </c>
      <c r="G108">
        <v>3.34143901361489E-2</v>
      </c>
      <c r="H108" t="s">
        <v>42</v>
      </c>
      <c r="I108" t="s">
        <v>51</v>
      </c>
      <c r="J108" t="s">
        <v>1650</v>
      </c>
    </row>
    <row r="109" spans="1:10" x14ac:dyDescent="0.2">
      <c r="A109">
        <v>0</v>
      </c>
      <c r="B109">
        <v>4.0375085449165498E-8</v>
      </c>
      <c r="C109">
        <v>2</v>
      </c>
      <c r="D109">
        <v>995</v>
      </c>
      <c r="E109" t="s">
        <v>276</v>
      </c>
      <c r="F109" t="s">
        <v>277</v>
      </c>
      <c r="G109">
        <v>1.15329842675234E-5</v>
      </c>
      <c r="H109" t="s">
        <v>42</v>
      </c>
      <c r="I109" t="s">
        <v>51</v>
      </c>
      <c r="J109" t="s">
        <v>1655</v>
      </c>
    </row>
    <row r="110" spans="1:10" x14ac:dyDescent="0.2">
      <c r="A110">
        <v>0</v>
      </c>
      <c r="B110">
        <v>8.9745988894331194E-6</v>
      </c>
      <c r="C110">
        <v>2</v>
      </c>
      <c r="D110">
        <v>87</v>
      </c>
      <c r="E110" t="s">
        <v>435</v>
      </c>
      <c r="F110" t="s">
        <v>436</v>
      </c>
      <c r="G110">
        <v>1.0984909040666099E-3</v>
      </c>
      <c r="H110" t="s">
        <v>42</v>
      </c>
      <c r="I110" t="s">
        <v>51</v>
      </c>
      <c r="J110" t="s">
        <v>1650</v>
      </c>
    </row>
    <row r="111" spans="1:10" x14ac:dyDescent="0.2">
      <c r="A111">
        <v>0</v>
      </c>
      <c r="B111">
        <v>5.85706083639088E-5</v>
      </c>
      <c r="C111">
        <v>2</v>
      </c>
      <c r="D111">
        <v>621</v>
      </c>
      <c r="E111" t="s">
        <v>437</v>
      </c>
      <c r="F111" t="s">
        <v>438</v>
      </c>
      <c r="G111">
        <v>4.9441672163740898E-3</v>
      </c>
      <c r="H111" t="s">
        <v>42</v>
      </c>
      <c r="I111" t="s">
        <v>51</v>
      </c>
      <c r="J111" t="s">
        <v>1650</v>
      </c>
    </row>
    <row r="112" spans="1:10" x14ac:dyDescent="0.2">
      <c r="A112">
        <v>0</v>
      </c>
      <c r="B112">
        <v>1.1697847690736699E-4</v>
      </c>
      <c r="C112">
        <v>2</v>
      </c>
      <c r="D112">
        <v>22</v>
      </c>
      <c r="E112" t="s">
        <v>439</v>
      </c>
      <c r="F112" t="s">
        <v>440</v>
      </c>
      <c r="G112">
        <v>9.0908987768010905E-3</v>
      </c>
      <c r="H112" t="s">
        <v>42</v>
      </c>
      <c r="I112" t="s">
        <v>51</v>
      </c>
      <c r="J112" t="s">
        <v>1650</v>
      </c>
    </row>
    <row r="113" spans="1:10" x14ac:dyDescent="0.2">
      <c r="A113">
        <v>0</v>
      </c>
      <c r="B113">
        <v>1.10460072606895E-5</v>
      </c>
      <c r="C113">
        <v>2</v>
      </c>
      <c r="D113">
        <v>460</v>
      </c>
      <c r="E113" t="s">
        <v>441</v>
      </c>
      <c r="F113" t="s">
        <v>442</v>
      </c>
      <c r="G113">
        <v>1.31905491581307E-3</v>
      </c>
      <c r="H113" t="s">
        <v>42</v>
      </c>
      <c r="I113" t="s">
        <v>51</v>
      </c>
      <c r="J113" t="s">
        <v>1650</v>
      </c>
    </row>
    <row r="114" spans="1:10" x14ac:dyDescent="0.2">
      <c r="A114">
        <v>0</v>
      </c>
      <c r="B114">
        <v>5.6866008781788597E-5</v>
      </c>
      <c r="C114">
        <v>2</v>
      </c>
      <c r="D114">
        <v>179</v>
      </c>
      <c r="E114" t="s">
        <v>443</v>
      </c>
      <c r="F114" t="s">
        <v>444</v>
      </c>
      <c r="G114">
        <v>4.8844908595725798E-3</v>
      </c>
      <c r="H114" t="s">
        <v>42</v>
      </c>
      <c r="I114" t="s">
        <v>51</v>
      </c>
      <c r="J114" t="s">
        <v>1655</v>
      </c>
    </row>
    <row r="115" spans="1:10" x14ac:dyDescent="0.2">
      <c r="A115">
        <v>0</v>
      </c>
      <c r="B115">
        <v>2.82201873084365E-5</v>
      </c>
      <c r="C115">
        <v>4</v>
      </c>
      <c r="D115">
        <v>200</v>
      </c>
      <c r="E115" t="s">
        <v>445</v>
      </c>
      <c r="F115" t="s">
        <v>446</v>
      </c>
      <c r="G115">
        <v>2.7999528988027901E-3</v>
      </c>
      <c r="H115" t="s">
        <v>42</v>
      </c>
      <c r="I115" t="s">
        <v>51</v>
      </c>
      <c r="J115" t="s">
        <v>1650</v>
      </c>
    </row>
    <row r="116" spans="1:10" x14ac:dyDescent="0.2">
      <c r="A116">
        <v>0</v>
      </c>
      <c r="B116">
        <v>1.4704483941069001E-8</v>
      </c>
      <c r="C116">
        <v>2</v>
      </c>
      <c r="D116">
        <v>3746</v>
      </c>
      <c r="E116" t="s">
        <v>447</v>
      </c>
      <c r="F116" t="s">
        <v>235</v>
      </c>
      <c r="G116">
        <v>4.4995720859671104E-6</v>
      </c>
      <c r="H116" t="s">
        <v>42</v>
      </c>
      <c r="I116" t="s">
        <v>51</v>
      </c>
      <c r="J116" t="s">
        <v>1650</v>
      </c>
    </row>
    <row r="117" spans="1:10" x14ac:dyDescent="0.2">
      <c r="A117">
        <v>0</v>
      </c>
      <c r="B117">
        <v>1.9812097911294899E-5</v>
      </c>
      <c r="C117">
        <v>2</v>
      </c>
      <c r="D117">
        <v>307</v>
      </c>
      <c r="E117" t="s">
        <v>296</v>
      </c>
      <c r="F117" t="s">
        <v>297</v>
      </c>
      <c r="G117">
        <v>2.1086963342108701E-3</v>
      </c>
      <c r="H117" t="s">
        <v>42</v>
      </c>
      <c r="I117" t="s">
        <v>51</v>
      </c>
      <c r="J117" t="s">
        <v>1655</v>
      </c>
    </row>
    <row r="118" spans="1:10" x14ac:dyDescent="0.2">
      <c r="A118">
        <v>0</v>
      </c>
      <c r="B118">
        <v>1.4000328267149299E-5</v>
      </c>
      <c r="C118">
        <v>6</v>
      </c>
      <c r="D118">
        <v>221</v>
      </c>
      <c r="E118" t="s">
        <v>298</v>
      </c>
      <c r="F118" t="s">
        <v>299</v>
      </c>
      <c r="G118">
        <v>1.5940838882782099E-3</v>
      </c>
      <c r="H118" t="s">
        <v>42</v>
      </c>
      <c r="I118" t="s">
        <v>51</v>
      </c>
      <c r="J118" t="s">
        <v>1655</v>
      </c>
    </row>
    <row r="119" spans="1:10" x14ac:dyDescent="0.2">
      <c r="A119">
        <v>0</v>
      </c>
      <c r="B119">
        <v>6.2431199106421196E-5</v>
      </c>
      <c r="C119">
        <v>2</v>
      </c>
      <c r="D119">
        <v>146</v>
      </c>
      <c r="E119" t="s">
        <v>448</v>
      </c>
      <c r="F119" t="s">
        <v>449</v>
      </c>
      <c r="G119">
        <v>5.1807313699159E-3</v>
      </c>
      <c r="H119" t="s">
        <v>42</v>
      </c>
      <c r="I119" t="s">
        <v>51</v>
      </c>
      <c r="J119" t="s">
        <v>1650</v>
      </c>
    </row>
    <row r="120" spans="1:10" x14ac:dyDescent="0.2">
      <c r="A120">
        <v>0</v>
      </c>
      <c r="B120">
        <v>1.0391109691314E-4</v>
      </c>
      <c r="C120">
        <v>3</v>
      </c>
      <c r="D120">
        <v>597</v>
      </c>
      <c r="E120" t="s">
        <v>302</v>
      </c>
      <c r="F120" t="s">
        <v>303</v>
      </c>
      <c r="G120">
        <v>8.2056246852698998E-3</v>
      </c>
      <c r="H120" t="s">
        <v>42</v>
      </c>
      <c r="I120" t="s">
        <v>51</v>
      </c>
      <c r="J120" t="s">
        <v>1655</v>
      </c>
    </row>
    <row r="121" spans="1:10" x14ac:dyDescent="0.2">
      <c r="A121">
        <v>0</v>
      </c>
      <c r="B121">
        <v>1.00257566860365E-3</v>
      </c>
      <c r="C121">
        <v>2</v>
      </c>
      <c r="D121">
        <v>171</v>
      </c>
      <c r="E121" t="s">
        <v>39</v>
      </c>
      <c r="F121" t="s">
        <v>40</v>
      </c>
      <c r="G121">
        <v>4.4623731577122502E-2</v>
      </c>
      <c r="H121" t="s">
        <v>42</v>
      </c>
      <c r="I121" t="s">
        <v>51</v>
      </c>
      <c r="J121" t="s">
        <v>1658</v>
      </c>
    </row>
    <row r="122" spans="1:10" x14ac:dyDescent="0.2">
      <c r="A122">
        <v>0</v>
      </c>
      <c r="B122">
        <v>2.6295757948662299E-4</v>
      </c>
      <c r="C122">
        <v>2</v>
      </c>
      <c r="D122">
        <v>539</v>
      </c>
      <c r="E122" t="s">
        <v>104</v>
      </c>
      <c r="F122" t="s">
        <v>105</v>
      </c>
      <c r="G122">
        <v>1.65056449893142E-2</v>
      </c>
      <c r="H122" t="s">
        <v>42</v>
      </c>
      <c r="I122" t="s">
        <v>51</v>
      </c>
      <c r="J122" t="s">
        <v>1650</v>
      </c>
    </row>
    <row r="123" spans="1:10" x14ac:dyDescent="0.2">
      <c r="A123">
        <v>0</v>
      </c>
      <c r="B123">
        <v>4.34346999930959E-4</v>
      </c>
      <c r="C123">
        <v>2</v>
      </c>
      <c r="D123">
        <v>54</v>
      </c>
      <c r="E123" t="s">
        <v>450</v>
      </c>
      <c r="F123" t="s">
        <v>451</v>
      </c>
      <c r="G123">
        <v>2.5316225138832998E-2</v>
      </c>
      <c r="H123" t="s">
        <v>42</v>
      </c>
      <c r="I123" t="s">
        <v>51</v>
      </c>
      <c r="J123" t="s">
        <v>1650</v>
      </c>
    </row>
    <row r="124" spans="1:10" x14ac:dyDescent="0.2">
      <c r="A124">
        <v>0</v>
      </c>
      <c r="B124">
        <v>5.3130362868723399E-5</v>
      </c>
      <c r="C124">
        <v>2</v>
      </c>
      <c r="D124">
        <v>143</v>
      </c>
      <c r="E124" t="s">
        <v>452</v>
      </c>
      <c r="F124" t="s">
        <v>453</v>
      </c>
      <c r="G124">
        <v>4.6451117250940997E-3</v>
      </c>
      <c r="H124" t="s">
        <v>42</v>
      </c>
      <c r="I124" t="s">
        <v>51</v>
      </c>
      <c r="J124" t="s">
        <v>1650</v>
      </c>
    </row>
    <row r="125" spans="1:10" x14ac:dyDescent="0.2">
      <c r="A125">
        <v>0</v>
      </c>
      <c r="B125">
        <v>7.6391126322991696E-4</v>
      </c>
      <c r="C125">
        <v>3</v>
      </c>
      <c r="D125">
        <v>61</v>
      </c>
      <c r="E125" t="s">
        <v>454</v>
      </c>
      <c r="F125" t="s">
        <v>455</v>
      </c>
      <c r="G125">
        <v>3.7778884290643203E-2</v>
      </c>
      <c r="H125" t="s">
        <v>42</v>
      </c>
      <c r="I125" t="s">
        <v>51</v>
      </c>
      <c r="J125" t="s">
        <v>1650</v>
      </c>
    </row>
    <row r="126" spans="1:10" x14ac:dyDescent="0.2">
      <c r="A126">
        <v>0</v>
      </c>
      <c r="B126">
        <v>7.68873074830557E-7</v>
      </c>
      <c r="C126">
        <v>2</v>
      </c>
      <c r="D126">
        <v>54</v>
      </c>
      <c r="E126" t="s">
        <v>456</v>
      </c>
      <c r="F126" t="s">
        <v>457</v>
      </c>
      <c r="G126">
        <v>5.3777179633862995E-4</v>
      </c>
      <c r="H126" t="s">
        <v>42</v>
      </c>
      <c r="I126" t="s">
        <v>337</v>
      </c>
      <c r="J126" t="s">
        <v>1648</v>
      </c>
    </row>
    <row r="127" spans="1:10" x14ac:dyDescent="0.2">
      <c r="A127">
        <v>0</v>
      </c>
      <c r="B127">
        <v>7.0238664376350603E-6</v>
      </c>
      <c r="C127">
        <v>2</v>
      </c>
      <c r="D127">
        <v>238</v>
      </c>
      <c r="E127" t="s">
        <v>458</v>
      </c>
      <c r="F127" t="s">
        <v>459</v>
      </c>
      <c r="G127">
        <v>3.1262590980601101E-3</v>
      </c>
      <c r="H127" t="s">
        <v>42</v>
      </c>
      <c r="I127" t="s">
        <v>337</v>
      </c>
      <c r="J127" t="s">
        <v>1650</v>
      </c>
    </row>
    <row r="128" spans="1:10" x14ac:dyDescent="0.2">
      <c r="A128">
        <v>0</v>
      </c>
      <c r="B128">
        <v>3.1300614421951698E-4</v>
      </c>
      <c r="C128">
        <v>4</v>
      </c>
      <c r="D128">
        <v>122</v>
      </c>
      <c r="E128" t="s">
        <v>460</v>
      </c>
      <c r="F128" t="s">
        <v>461</v>
      </c>
      <c r="G128">
        <v>4.2918156005182E-2</v>
      </c>
      <c r="H128" t="s">
        <v>42</v>
      </c>
      <c r="I128" t="s">
        <v>337</v>
      </c>
      <c r="J128" t="s">
        <v>1648</v>
      </c>
    </row>
    <row r="129" spans="1:10" x14ac:dyDescent="0.2">
      <c r="A129">
        <v>0</v>
      </c>
      <c r="B129">
        <v>1.34744693033027E-5</v>
      </c>
      <c r="C129">
        <v>4</v>
      </c>
      <c r="D129">
        <v>219</v>
      </c>
      <c r="E129" t="s">
        <v>462</v>
      </c>
      <c r="F129" t="s">
        <v>463</v>
      </c>
      <c r="G129">
        <v>5.1555732193097996E-3</v>
      </c>
      <c r="H129" t="s">
        <v>42</v>
      </c>
      <c r="I129" t="s">
        <v>337</v>
      </c>
      <c r="J129" t="s">
        <v>1648</v>
      </c>
    </row>
    <row r="130" spans="1:10" x14ac:dyDescent="0.2">
      <c r="A130">
        <v>0</v>
      </c>
      <c r="B130">
        <v>1.90233471426783E-6</v>
      </c>
      <c r="C130">
        <v>2</v>
      </c>
      <c r="D130">
        <v>81</v>
      </c>
      <c r="E130" t="s">
        <v>464</v>
      </c>
      <c r="F130" t="s">
        <v>465</v>
      </c>
      <c r="G130">
        <v>1.0348700845617001E-3</v>
      </c>
      <c r="H130" t="s">
        <v>42</v>
      </c>
      <c r="I130" t="s">
        <v>337</v>
      </c>
      <c r="J130" t="s">
        <v>1648</v>
      </c>
    </row>
    <row r="131" spans="1:10" x14ac:dyDescent="0.2">
      <c r="A131">
        <v>0</v>
      </c>
      <c r="B131">
        <v>3.63056442471522E-5</v>
      </c>
      <c r="C131">
        <v>2</v>
      </c>
      <c r="D131">
        <v>66</v>
      </c>
      <c r="E131" t="s">
        <v>466</v>
      </c>
      <c r="F131" t="s">
        <v>467</v>
      </c>
      <c r="G131">
        <v>1.04560255431798E-2</v>
      </c>
      <c r="H131" t="s">
        <v>42</v>
      </c>
      <c r="I131" t="s">
        <v>337</v>
      </c>
      <c r="J131" t="s">
        <v>1648</v>
      </c>
    </row>
    <row r="132" spans="1:10" x14ac:dyDescent="0.2">
      <c r="A132">
        <v>0</v>
      </c>
      <c r="B132">
        <v>1.12779486718506E-11</v>
      </c>
      <c r="C132">
        <v>2</v>
      </c>
      <c r="D132">
        <v>204</v>
      </c>
      <c r="E132" t="s">
        <v>468</v>
      </c>
      <c r="F132" t="s">
        <v>469</v>
      </c>
      <c r="G132">
        <v>1.38042091743451E-8</v>
      </c>
      <c r="H132" t="s">
        <v>42</v>
      </c>
      <c r="I132" t="s">
        <v>337</v>
      </c>
      <c r="J132" t="s">
        <v>1651</v>
      </c>
    </row>
    <row r="133" spans="1:10" x14ac:dyDescent="0.2">
      <c r="A133">
        <v>0</v>
      </c>
      <c r="B133">
        <v>1.72678682582315E-4</v>
      </c>
      <c r="C133">
        <v>3</v>
      </c>
      <c r="D133">
        <v>38</v>
      </c>
      <c r="E133" t="s">
        <v>470</v>
      </c>
      <c r="F133" t="s">
        <v>471</v>
      </c>
      <c r="G133">
        <v>3.0194101068679102E-2</v>
      </c>
      <c r="H133" t="s">
        <v>42</v>
      </c>
      <c r="I133" t="s">
        <v>337</v>
      </c>
      <c r="J133" t="s">
        <v>1650</v>
      </c>
    </row>
    <row r="134" spans="1:10" x14ac:dyDescent="0.2">
      <c r="A134">
        <v>0</v>
      </c>
      <c r="B134">
        <v>3.50287643613841E-15</v>
      </c>
      <c r="C134">
        <v>2</v>
      </c>
      <c r="D134">
        <v>302</v>
      </c>
      <c r="E134" t="s">
        <v>472</v>
      </c>
      <c r="F134" t="s">
        <v>473</v>
      </c>
      <c r="G134">
        <v>1.6333526887044701E-11</v>
      </c>
      <c r="H134" t="s">
        <v>42</v>
      </c>
      <c r="I134" t="s">
        <v>337</v>
      </c>
      <c r="J134" t="s">
        <v>1651</v>
      </c>
    </row>
    <row r="135" spans="1:10" x14ac:dyDescent="0.2">
      <c r="A135">
        <v>0</v>
      </c>
      <c r="B135">
        <v>5.9488225120314998E-5</v>
      </c>
      <c r="C135">
        <v>2</v>
      </c>
      <c r="D135">
        <v>326</v>
      </c>
      <c r="E135" t="s">
        <v>474</v>
      </c>
      <c r="F135" t="s">
        <v>475</v>
      </c>
      <c r="G135">
        <v>1.61807972327257E-2</v>
      </c>
      <c r="H135" t="s">
        <v>42</v>
      </c>
      <c r="I135" t="s">
        <v>337</v>
      </c>
      <c r="J135" t="s">
        <v>475</v>
      </c>
    </row>
    <row r="136" spans="1:10" x14ac:dyDescent="0.2">
      <c r="A136">
        <v>0</v>
      </c>
      <c r="B136">
        <v>1.5810985496962101E-4</v>
      </c>
      <c r="C136">
        <v>2</v>
      </c>
      <c r="D136">
        <v>83</v>
      </c>
      <c r="E136" t="s">
        <v>476</v>
      </c>
      <c r="F136" t="s">
        <v>477</v>
      </c>
      <c r="G136">
        <v>2.97733019204332E-2</v>
      </c>
      <c r="H136" t="s">
        <v>42</v>
      </c>
      <c r="I136" t="s">
        <v>337</v>
      </c>
      <c r="J136" t="s">
        <v>1650</v>
      </c>
    </row>
    <row r="137" spans="1:10" x14ac:dyDescent="0.2">
      <c r="A137">
        <v>0</v>
      </c>
      <c r="B137">
        <v>3.64594140351352E-4</v>
      </c>
      <c r="C137">
        <v>2</v>
      </c>
      <c r="D137">
        <v>68</v>
      </c>
      <c r="E137" t="s">
        <v>478</v>
      </c>
      <c r="F137" t="s">
        <v>479</v>
      </c>
      <c r="G137">
        <v>4.8244673274600497E-2</v>
      </c>
      <c r="H137" t="s">
        <v>42</v>
      </c>
      <c r="I137" t="s">
        <v>337</v>
      </c>
      <c r="J137" t="s">
        <v>1650</v>
      </c>
    </row>
    <row r="138" spans="1:10" x14ac:dyDescent="0.2">
      <c r="A138">
        <v>0</v>
      </c>
      <c r="B138">
        <v>3.0365173856684499E-4</v>
      </c>
      <c r="C138">
        <v>2</v>
      </c>
      <c r="D138">
        <v>597</v>
      </c>
      <c r="E138" t="s">
        <v>480</v>
      </c>
      <c r="F138" t="s">
        <v>481</v>
      </c>
      <c r="G138">
        <v>4.2918156005182E-2</v>
      </c>
      <c r="H138" t="s">
        <v>42</v>
      </c>
      <c r="I138" t="s">
        <v>337</v>
      </c>
      <c r="J138" t="s">
        <v>1650</v>
      </c>
    </row>
    <row r="139" spans="1:10" x14ac:dyDescent="0.2">
      <c r="A139">
        <v>0</v>
      </c>
      <c r="B139">
        <v>1.8103053194083E-4</v>
      </c>
      <c r="C139">
        <v>4</v>
      </c>
      <c r="D139">
        <v>21</v>
      </c>
      <c r="E139" t="s">
        <v>482</v>
      </c>
      <c r="F139" t="s">
        <v>483</v>
      </c>
      <c r="G139">
        <v>3.0562947737320802E-2</v>
      </c>
      <c r="H139" t="s">
        <v>42</v>
      </c>
      <c r="I139" t="s">
        <v>337</v>
      </c>
      <c r="J139" t="s">
        <v>1650</v>
      </c>
    </row>
    <row r="140" spans="1:10" x14ac:dyDescent="0.2">
      <c r="A140">
        <v>0</v>
      </c>
      <c r="B140">
        <v>2.7978419949565902E-4</v>
      </c>
      <c r="C140">
        <v>2</v>
      </c>
      <c r="D140">
        <v>120</v>
      </c>
      <c r="E140" t="s">
        <v>484</v>
      </c>
      <c r="F140" t="s">
        <v>485</v>
      </c>
      <c r="G140">
        <v>4.2806982522835803E-2</v>
      </c>
      <c r="H140" t="s">
        <v>42</v>
      </c>
      <c r="I140" t="s">
        <v>337</v>
      </c>
      <c r="J140" t="s">
        <v>1648</v>
      </c>
    </row>
    <row r="141" spans="1:10" x14ac:dyDescent="0.2">
      <c r="A141">
        <v>0</v>
      </c>
      <c r="B141">
        <v>5.4372481085862601E-6</v>
      </c>
      <c r="C141">
        <v>2</v>
      </c>
      <c r="D141">
        <v>408</v>
      </c>
      <c r="E141" t="s">
        <v>486</v>
      </c>
      <c r="F141" t="s">
        <v>487</v>
      </c>
      <c r="G141">
        <v>2.6620766739638298E-3</v>
      </c>
      <c r="H141" t="s">
        <v>42</v>
      </c>
      <c r="I141" t="s">
        <v>337</v>
      </c>
      <c r="J141" t="s">
        <v>1650</v>
      </c>
    </row>
    <row r="142" spans="1:10" x14ac:dyDescent="0.2">
      <c r="A142">
        <v>0</v>
      </c>
      <c r="B142">
        <v>1.4438769366092899E-4</v>
      </c>
      <c r="C142">
        <v>2</v>
      </c>
      <c r="D142">
        <v>109</v>
      </c>
      <c r="E142" t="s">
        <v>488</v>
      </c>
      <c r="F142" t="s">
        <v>489</v>
      </c>
      <c r="G142">
        <v>2.9017174301117301E-2</v>
      </c>
      <c r="H142" t="s">
        <v>42</v>
      </c>
      <c r="I142" t="s">
        <v>337</v>
      </c>
      <c r="J142" t="s">
        <v>1650</v>
      </c>
    </row>
    <row r="143" spans="1:10" x14ac:dyDescent="0.2">
      <c r="A143">
        <v>0</v>
      </c>
      <c r="B143">
        <v>1.7044716793690001E-4</v>
      </c>
      <c r="C143">
        <v>3</v>
      </c>
      <c r="D143">
        <v>84</v>
      </c>
      <c r="E143" t="s">
        <v>490</v>
      </c>
      <c r="F143" t="s">
        <v>491</v>
      </c>
      <c r="G143">
        <v>3.0194101068679102E-2</v>
      </c>
      <c r="H143" t="s">
        <v>42</v>
      </c>
      <c r="I143" t="s">
        <v>337</v>
      </c>
      <c r="J143" t="s">
        <v>1650</v>
      </c>
    </row>
    <row r="144" spans="1:10" x14ac:dyDescent="0.2">
      <c r="A144">
        <v>0</v>
      </c>
      <c r="B144">
        <v>1.4650526428852E-4</v>
      </c>
      <c r="C144">
        <v>3</v>
      </c>
      <c r="D144">
        <v>82</v>
      </c>
      <c r="E144" t="s">
        <v>492</v>
      </c>
      <c r="F144" t="s">
        <v>493</v>
      </c>
      <c r="G144">
        <v>2.9017174301117301E-2</v>
      </c>
      <c r="H144" t="s">
        <v>42</v>
      </c>
      <c r="I144" t="s">
        <v>337</v>
      </c>
      <c r="J144" t="s">
        <v>1650</v>
      </c>
    </row>
    <row r="145" spans="1:10" x14ac:dyDescent="0.2">
      <c r="A145">
        <v>0</v>
      </c>
      <c r="B145">
        <v>2.9982056361432401E-4</v>
      </c>
      <c r="C145">
        <v>3</v>
      </c>
      <c r="D145">
        <v>92</v>
      </c>
      <c r="E145" t="s">
        <v>198</v>
      </c>
      <c r="F145" t="s">
        <v>199</v>
      </c>
      <c r="G145">
        <v>4.2918156005182E-2</v>
      </c>
      <c r="H145" t="s">
        <v>42</v>
      </c>
      <c r="I145" t="s">
        <v>337</v>
      </c>
      <c r="J145" t="s">
        <v>1650</v>
      </c>
    </row>
    <row r="146" spans="1:10" x14ac:dyDescent="0.2">
      <c r="A146">
        <v>0</v>
      </c>
      <c r="B146">
        <v>3.1557467650869102E-4</v>
      </c>
      <c r="C146">
        <v>4</v>
      </c>
      <c r="D146">
        <v>380</v>
      </c>
      <c r="E146" t="s">
        <v>494</v>
      </c>
      <c r="F146" t="s">
        <v>495</v>
      </c>
      <c r="G146">
        <v>4.2918156005182E-2</v>
      </c>
      <c r="H146" t="s">
        <v>42</v>
      </c>
      <c r="I146" t="s">
        <v>337</v>
      </c>
      <c r="J146" t="s">
        <v>1650</v>
      </c>
    </row>
    <row r="147" spans="1:10" x14ac:dyDescent="0.2">
      <c r="A147">
        <v>0</v>
      </c>
      <c r="B147">
        <v>1.47422436826669E-5</v>
      </c>
      <c r="C147">
        <v>2</v>
      </c>
      <c r="D147">
        <v>644</v>
      </c>
      <c r="E147" t="s">
        <v>398</v>
      </c>
      <c r="F147" t="s">
        <v>399</v>
      </c>
      <c r="G147">
        <v>5.1555732193097996E-3</v>
      </c>
      <c r="H147" t="s">
        <v>42</v>
      </c>
      <c r="I147" t="s">
        <v>337</v>
      </c>
      <c r="J147" t="s">
        <v>1650</v>
      </c>
    </row>
    <row r="148" spans="1:10" x14ac:dyDescent="0.2">
      <c r="A148">
        <v>0</v>
      </c>
      <c r="B148">
        <v>1.4816776093299299E-4</v>
      </c>
      <c r="C148">
        <v>2</v>
      </c>
      <c r="D148">
        <v>20</v>
      </c>
      <c r="E148" t="s">
        <v>496</v>
      </c>
      <c r="F148" t="s">
        <v>497</v>
      </c>
      <c r="G148">
        <v>2.9017174301117301E-2</v>
      </c>
      <c r="H148" t="s">
        <v>42</v>
      </c>
      <c r="I148" t="s">
        <v>337</v>
      </c>
      <c r="J148" t="s">
        <v>1650</v>
      </c>
    </row>
    <row r="149" spans="1:10" x14ac:dyDescent="0.2">
      <c r="A149">
        <v>0</v>
      </c>
      <c r="B149">
        <v>2.37863633011861E-5</v>
      </c>
      <c r="C149">
        <v>3</v>
      </c>
      <c r="D149">
        <v>1374</v>
      </c>
      <c r="E149" t="s">
        <v>498</v>
      </c>
      <c r="F149" t="s">
        <v>499</v>
      </c>
      <c r="G149">
        <v>7.7638689815071396E-3</v>
      </c>
      <c r="H149" t="s">
        <v>42</v>
      </c>
      <c r="I149" t="s">
        <v>337</v>
      </c>
      <c r="J149" t="s">
        <v>1650</v>
      </c>
    </row>
    <row r="150" spans="1:10" x14ac:dyDescent="0.2">
      <c r="A150">
        <v>0</v>
      </c>
      <c r="B150">
        <v>6.6721923558189303E-15</v>
      </c>
      <c r="C150">
        <v>4</v>
      </c>
      <c r="D150">
        <v>529</v>
      </c>
      <c r="E150" t="s">
        <v>500</v>
      </c>
      <c r="F150" t="s">
        <v>501</v>
      </c>
      <c r="G150">
        <v>1.6333526887044701E-11</v>
      </c>
      <c r="H150" t="s">
        <v>42</v>
      </c>
      <c r="I150" t="s">
        <v>337</v>
      </c>
      <c r="J150" t="s">
        <v>1650</v>
      </c>
    </row>
    <row r="151" spans="1:10" x14ac:dyDescent="0.2">
      <c r="A151">
        <v>0</v>
      </c>
      <c r="B151">
        <v>3.5640511075153698E-13</v>
      </c>
      <c r="C151">
        <v>2</v>
      </c>
      <c r="D151">
        <v>310</v>
      </c>
      <c r="E151" t="s">
        <v>502</v>
      </c>
      <c r="F151" t="s">
        <v>503</v>
      </c>
      <c r="G151">
        <v>5.8165314074650805E-10</v>
      </c>
      <c r="H151" t="s">
        <v>42</v>
      </c>
      <c r="I151" t="s">
        <v>337</v>
      </c>
      <c r="J151" t="s">
        <v>1664</v>
      </c>
    </row>
    <row r="152" spans="1:10" x14ac:dyDescent="0.2">
      <c r="A152">
        <v>0</v>
      </c>
      <c r="B152">
        <v>1.37212982197884E-5</v>
      </c>
      <c r="C152">
        <v>3</v>
      </c>
      <c r="D152">
        <v>1904</v>
      </c>
      <c r="E152" t="s">
        <v>504</v>
      </c>
      <c r="F152" t="s">
        <v>505</v>
      </c>
      <c r="G152">
        <v>5.1555732193097996E-3</v>
      </c>
      <c r="H152" t="s">
        <v>42</v>
      </c>
      <c r="I152" t="s">
        <v>337</v>
      </c>
      <c r="J152" t="s">
        <v>1650</v>
      </c>
    </row>
    <row r="153" spans="1:10" x14ac:dyDescent="0.2">
      <c r="A153">
        <v>0</v>
      </c>
      <c r="B153">
        <v>1.40729151139678E-4</v>
      </c>
      <c r="C153">
        <v>2</v>
      </c>
      <c r="D153">
        <v>8</v>
      </c>
      <c r="E153" t="s">
        <v>506</v>
      </c>
      <c r="F153" t="s">
        <v>507</v>
      </c>
      <c r="G153">
        <v>2.9017174301117301E-2</v>
      </c>
      <c r="H153" t="s">
        <v>42</v>
      </c>
      <c r="I153" t="s">
        <v>337</v>
      </c>
      <c r="J153" t="s">
        <v>1657</v>
      </c>
    </row>
    <row r="154" spans="1:10" x14ac:dyDescent="0.2">
      <c r="A154">
        <v>0</v>
      </c>
      <c r="B154">
        <v>1.18578776637534E-6</v>
      </c>
      <c r="C154">
        <v>3</v>
      </c>
      <c r="D154">
        <v>40</v>
      </c>
      <c r="E154" t="s">
        <v>508</v>
      </c>
      <c r="F154" t="s">
        <v>509</v>
      </c>
      <c r="G154">
        <v>7.2570211302170804E-4</v>
      </c>
      <c r="H154" t="s">
        <v>42</v>
      </c>
      <c r="I154" t="s">
        <v>337</v>
      </c>
      <c r="J154" t="s">
        <v>1648</v>
      </c>
    </row>
    <row r="155" spans="1:10" x14ac:dyDescent="0.2">
      <c r="A155">
        <v>0</v>
      </c>
      <c r="B155">
        <v>2.5636594445969301E-4</v>
      </c>
      <c r="C155">
        <v>2</v>
      </c>
      <c r="D155">
        <v>218</v>
      </c>
      <c r="E155" t="s">
        <v>510</v>
      </c>
      <c r="F155" t="s">
        <v>511</v>
      </c>
      <c r="G155">
        <v>4.0489279486279298E-2</v>
      </c>
      <c r="H155" t="s">
        <v>42</v>
      </c>
      <c r="I155" t="s">
        <v>337</v>
      </c>
      <c r="J155" t="s">
        <v>1650</v>
      </c>
    </row>
    <row r="156" spans="1:10" x14ac:dyDescent="0.2">
      <c r="A156">
        <v>0</v>
      </c>
      <c r="B156">
        <v>5.7022312473562799E-8</v>
      </c>
      <c r="C156">
        <v>2</v>
      </c>
      <c r="D156">
        <v>3207</v>
      </c>
      <c r="E156" t="s">
        <v>512</v>
      </c>
      <c r="F156" t="s">
        <v>513</v>
      </c>
      <c r="G156">
        <v>5.5836248374112698E-5</v>
      </c>
      <c r="H156" t="s">
        <v>42</v>
      </c>
      <c r="I156" t="s">
        <v>337</v>
      </c>
      <c r="J156" t="s">
        <v>1650</v>
      </c>
    </row>
    <row r="157" spans="1:10" x14ac:dyDescent="0.2">
      <c r="A157">
        <v>0</v>
      </c>
      <c r="B157">
        <v>1.40729151139678E-4</v>
      </c>
      <c r="C157">
        <v>2</v>
      </c>
      <c r="D157">
        <v>8</v>
      </c>
      <c r="E157" t="s">
        <v>514</v>
      </c>
      <c r="F157" t="s">
        <v>515</v>
      </c>
      <c r="G157">
        <v>2.9017174301117301E-2</v>
      </c>
      <c r="H157" t="s">
        <v>42</v>
      </c>
      <c r="I157" t="s">
        <v>337</v>
      </c>
      <c r="J157" t="s">
        <v>1650</v>
      </c>
    </row>
    <row r="158" spans="1:10" x14ac:dyDescent="0.2">
      <c r="A158">
        <v>0</v>
      </c>
      <c r="B158">
        <v>1.4816776093299299E-4</v>
      </c>
      <c r="C158">
        <v>2</v>
      </c>
      <c r="D158">
        <v>20</v>
      </c>
      <c r="E158" t="s">
        <v>516</v>
      </c>
      <c r="F158" t="s">
        <v>517</v>
      </c>
      <c r="G158">
        <v>2.9017174301117301E-2</v>
      </c>
      <c r="H158" t="s">
        <v>42</v>
      </c>
      <c r="I158" t="s">
        <v>337</v>
      </c>
      <c r="J158" t="s">
        <v>1650</v>
      </c>
    </row>
    <row r="159" spans="1:10" x14ac:dyDescent="0.2">
      <c r="A159">
        <v>0</v>
      </c>
      <c r="B159">
        <v>6.4579276495859106E-5</v>
      </c>
      <c r="C159">
        <v>4</v>
      </c>
      <c r="D159">
        <v>367</v>
      </c>
      <c r="E159" t="s">
        <v>518</v>
      </c>
      <c r="F159" t="s">
        <v>519</v>
      </c>
      <c r="G159">
        <v>1.66410598801961E-2</v>
      </c>
      <c r="H159" t="s">
        <v>42</v>
      </c>
      <c r="I159" t="s">
        <v>337</v>
      </c>
      <c r="J159" t="s">
        <v>1650</v>
      </c>
    </row>
    <row r="160" spans="1:10" x14ac:dyDescent="0.2">
      <c r="A160">
        <v>0</v>
      </c>
      <c r="B160">
        <v>1.9662097818822299E-4</v>
      </c>
      <c r="C160">
        <v>2</v>
      </c>
      <c r="D160">
        <v>177</v>
      </c>
      <c r="E160" t="s">
        <v>520</v>
      </c>
      <c r="F160" t="s">
        <v>521</v>
      </c>
      <c r="G160">
        <v>3.2088543640317997E-2</v>
      </c>
      <c r="H160" t="s">
        <v>42</v>
      </c>
      <c r="I160" t="s">
        <v>337</v>
      </c>
      <c r="J160" t="s">
        <v>1648</v>
      </c>
    </row>
    <row r="161" spans="1:10" x14ac:dyDescent="0.2">
      <c r="A161">
        <v>0</v>
      </c>
      <c r="B161">
        <v>4.3224179894731399E-7</v>
      </c>
      <c r="C161">
        <v>2</v>
      </c>
      <c r="D161">
        <v>934</v>
      </c>
      <c r="E161" t="s">
        <v>522</v>
      </c>
      <c r="F161" t="s">
        <v>523</v>
      </c>
      <c r="G161">
        <v>3.5270930794100802E-4</v>
      </c>
      <c r="H161" t="s">
        <v>42</v>
      </c>
      <c r="I161" t="s">
        <v>337</v>
      </c>
      <c r="J161" t="s">
        <v>1650</v>
      </c>
    </row>
    <row r="162" spans="1:10" x14ac:dyDescent="0.2">
      <c r="A162">
        <v>0</v>
      </c>
      <c r="B162">
        <v>3.41606331326122E-5</v>
      </c>
      <c r="C162">
        <v>2</v>
      </c>
      <c r="D162">
        <v>89</v>
      </c>
      <c r="E162" t="s">
        <v>524</v>
      </c>
      <c r="F162" t="s">
        <v>525</v>
      </c>
      <c r="G162">
        <v>1.04531537385793E-2</v>
      </c>
      <c r="H162" t="s">
        <v>42</v>
      </c>
      <c r="I162" t="s">
        <v>337</v>
      </c>
      <c r="J162" t="s">
        <v>1650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E17AC-1505-C643-AAD0-CC10C6C6B39B}">
  <dimension ref="A1:J140"/>
  <sheetViews>
    <sheetView workbookViewId="0"/>
  </sheetViews>
  <sheetFormatPr baseColWidth="10" defaultRowHeight="16" x14ac:dyDescent="0.2"/>
  <sheetData>
    <row r="1" spans="1:10" x14ac:dyDescent="0.2">
      <c r="A1" t="s">
        <v>1673</v>
      </c>
    </row>
    <row r="2" spans="1:10" x14ac:dyDescent="0.2">
      <c r="A2" t="s">
        <v>45</v>
      </c>
    </row>
    <row r="3" spans="1:10" x14ac:dyDescent="0.2">
      <c r="A3" t="s">
        <v>46</v>
      </c>
    </row>
    <row r="4" spans="1:10" x14ac:dyDescent="0.2">
      <c r="A4" t="s">
        <v>47</v>
      </c>
    </row>
    <row r="5" spans="1:10" x14ac:dyDescent="0.2">
      <c r="A5" t="s">
        <v>48</v>
      </c>
    </row>
    <row r="6" spans="1:10" x14ac:dyDescent="0.2">
      <c r="A6" t="s">
        <v>49</v>
      </c>
    </row>
    <row r="7" spans="1:10" x14ac:dyDescent="0.2">
      <c r="A7" t="s">
        <v>44</v>
      </c>
    </row>
    <row r="8" spans="1:10" x14ac:dyDescent="0.2">
      <c r="A8" t="s">
        <v>43</v>
      </c>
    </row>
    <row r="9" spans="1:10" ht="17" x14ac:dyDescent="0.25">
      <c r="A9" t="s">
        <v>52</v>
      </c>
    </row>
    <row r="10" spans="1:10" x14ac:dyDescent="0.2">
      <c r="A10" t="s">
        <v>1036</v>
      </c>
    </row>
    <row r="11" spans="1:10" ht="17" thickBot="1" x14ac:dyDescent="0.25">
      <c r="A11" t="s">
        <v>1661</v>
      </c>
    </row>
    <row r="12" spans="1:10" ht="17" thickBot="1" x14ac:dyDescent="0.25">
      <c r="A12" s="2" t="s">
        <v>0</v>
      </c>
      <c r="B12" s="2" t="s">
        <v>1</v>
      </c>
      <c r="C12" s="2" t="s">
        <v>2</v>
      </c>
      <c r="D12" s="2" t="s">
        <v>3</v>
      </c>
      <c r="E12" s="2" t="s">
        <v>4</v>
      </c>
      <c r="F12" s="2" t="s">
        <v>5</v>
      </c>
      <c r="G12" s="2" t="s">
        <v>6</v>
      </c>
      <c r="H12" s="2" t="s">
        <v>41</v>
      </c>
      <c r="I12" s="2" t="s">
        <v>1037</v>
      </c>
      <c r="J12" s="11" t="s">
        <v>1647</v>
      </c>
    </row>
    <row r="13" spans="1:10" x14ac:dyDescent="0.2">
      <c r="A13">
        <v>0</v>
      </c>
      <c r="B13">
        <v>2.2026835281776301E-3</v>
      </c>
      <c r="C13">
        <v>2</v>
      </c>
      <c r="D13">
        <v>7</v>
      </c>
      <c r="E13" t="s">
        <v>343</v>
      </c>
      <c r="F13" t="s">
        <v>344</v>
      </c>
      <c r="G13">
        <v>3.6238532110091697E-2</v>
      </c>
      <c r="H13" t="s">
        <v>42</v>
      </c>
      <c r="I13" t="s">
        <v>1038</v>
      </c>
      <c r="J13" t="s">
        <v>1650</v>
      </c>
    </row>
    <row r="14" spans="1:10" x14ac:dyDescent="0.2">
      <c r="A14">
        <v>0</v>
      </c>
      <c r="B14">
        <v>1.59394569349976E-3</v>
      </c>
      <c r="C14">
        <v>7</v>
      </c>
      <c r="D14">
        <v>213</v>
      </c>
      <c r="E14" t="s">
        <v>108</v>
      </c>
      <c r="F14" t="s">
        <v>109</v>
      </c>
      <c r="G14">
        <v>2.4E-2</v>
      </c>
      <c r="H14" t="s">
        <v>42</v>
      </c>
      <c r="I14" t="s">
        <v>1038</v>
      </c>
      <c r="J14" t="s">
        <v>1650</v>
      </c>
    </row>
    <row r="15" spans="1:10" x14ac:dyDescent="0.2">
      <c r="A15">
        <v>0</v>
      </c>
      <c r="B15">
        <v>4.0111667671937001E-8</v>
      </c>
      <c r="C15">
        <v>8</v>
      </c>
      <c r="D15">
        <v>91</v>
      </c>
      <c r="E15" t="s">
        <v>112</v>
      </c>
      <c r="F15" t="s">
        <v>113</v>
      </c>
      <c r="G15">
        <v>0</v>
      </c>
      <c r="H15" t="s">
        <v>42</v>
      </c>
      <c r="I15" t="s">
        <v>1038</v>
      </c>
      <c r="J15" t="s">
        <v>1650</v>
      </c>
    </row>
    <row r="16" spans="1:10" x14ac:dyDescent="0.2">
      <c r="A16">
        <v>0</v>
      </c>
      <c r="B16">
        <v>3.2863277944065599E-4</v>
      </c>
      <c r="C16">
        <v>2</v>
      </c>
      <c r="D16">
        <v>8</v>
      </c>
      <c r="E16" t="s">
        <v>1039</v>
      </c>
      <c r="F16" t="s">
        <v>1040</v>
      </c>
      <c r="G16">
        <v>8.6956521739130401E-3</v>
      </c>
      <c r="H16" t="s">
        <v>42</v>
      </c>
      <c r="I16" t="s">
        <v>1038</v>
      </c>
      <c r="J16" t="s">
        <v>1650</v>
      </c>
    </row>
    <row r="17" spans="1:10" x14ac:dyDescent="0.2">
      <c r="A17">
        <v>0</v>
      </c>
      <c r="B17">
        <v>5.9946861941703198E-5</v>
      </c>
      <c r="C17">
        <v>2</v>
      </c>
      <c r="D17">
        <v>21</v>
      </c>
      <c r="E17" t="s">
        <v>1041</v>
      </c>
      <c r="F17" t="s">
        <v>1042</v>
      </c>
      <c r="G17">
        <v>1.06382978723404E-3</v>
      </c>
      <c r="H17" t="s">
        <v>42</v>
      </c>
      <c r="I17" t="s">
        <v>1038</v>
      </c>
      <c r="J17" t="s">
        <v>1650</v>
      </c>
    </row>
    <row r="18" spans="1:10" x14ac:dyDescent="0.2">
      <c r="A18">
        <v>0</v>
      </c>
      <c r="B18">
        <v>1.2884584388834E-5</v>
      </c>
      <c r="C18">
        <v>2</v>
      </c>
      <c r="D18">
        <v>18</v>
      </c>
      <c r="E18" t="s">
        <v>1043</v>
      </c>
      <c r="F18" t="s">
        <v>1044</v>
      </c>
      <c r="G18">
        <v>0</v>
      </c>
      <c r="H18" t="s">
        <v>42</v>
      </c>
      <c r="I18" t="s">
        <v>1038</v>
      </c>
      <c r="J18" t="s">
        <v>1650</v>
      </c>
    </row>
    <row r="19" spans="1:10" x14ac:dyDescent="0.2">
      <c r="A19">
        <v>0</v>
      </c>
      <c r="B19">
        <v>2.1436682370609301E-4</v>
      </c>
      <c r="C19">
        <v>3</v>
      </c>
      <c r="D19">
        <v>11</v>
      </c>
      <c r="E19" t="s">
        <v>1045</v>
      </c>
      <c r="F19" t="s">
        <v>1046</v>
      </c>
      <c r="G19">
        <v>5.5555555555555497E-3</v>
      </c>
      <c r="H19" t="s">
        <v>42</v>
      </c>
      <c r="I19" t="s">
        <v>1038</v>
      </c>
      <c r="J19" t="s">
        <v>1650</v>
      </c>
    </row>
    <row r="20" spans="1:10" x14ac:dyDescent="0.2">
      <c r="A20">
        <v>0</v>
      </c>
      <c r="B20">
        <v>7.2192746244281497E-4</v>
      </c>
      <c r="C20">
        <v>7</v>
      </c>
      <c r="D20">
        <v>45</v>
      </c>
      <c r="E20" t="s">
        <v>311</v>
      </c>
      <c r="F20" t="s">
        <v>312</v>
      </c>
      <c r="G20">
        <v>1.3218390804597699E-2</v>
      </c>
      <c r="H20" t="s">
        <v>42</v>
      </c>
      <c r="I20" t="s">
        <v>1038</v>
      </c>
      <c r="J20" t="s">
        <v>1650</v>
      </c>
    </row>
    <row r="21" spans="1:10" x14ac:dyDescent="0.2">
      <c r="A21">
        <v>0</v>
      </c>
      <c r="B21">
        <v>1.05975716904941E-12</v>
      </c>
      <c r="C21">
        <v>2</v>
      </c>
      <c r="D21">
        <v>360</v>
      </c>
      <c r="E21" t="s">
        <v>1047</v>
      </c>
      <c r="F21" t="s">
        <v>1048</v>
      </c>
      <c r="G21">
        <v>0</v>
      </c>
      <c r="H21" t="s">
        <v>42</v>
      </c>
      <c r="I21" t="s">
        <v>1038</v>
      </c>
      <c r="J21" t="s">
        <v>1650</v>
      </c>
    </row>
    <row r="22" spans="1:10" x14ac:dyDescent="0.2">
      <c r="A22">
        <v>0</v>
      </c>
      <c r="B22">
        <v>4.3195751942642398E-11</v>
      </c>
      <c r="C22">
        <v>3</v>
      </c>
      <c r="D22">
        <v>84</v>
      </c>
      <c r="E22" t="s">
        <v>1049</v>
      </c>
      <c r="F22" t="s">
        <v>1050</v>
      </c>
      <c r="G22">
        <v>0</v>
      </c>
      <c r="H22" t="s">
        <v>42</v>
      </c>
      <c r="I22" t="s">
        <v>1038</v>
      </c>
      <c r="J22" t="s">
        <v>1650</v>
      </c>
    </row>
    <row r="23" spans="1:10" x14ac:dyDescent="0.2">
      <c r="A23">
        <v>0</v>
      </c>
      <c r="B23">
        <v>1.0860667341452601E-3</v>
      </c>
      <c r="C23">
        <v>5</v>
      </c>
      <c r="D23">
        <v>14</v>
      </c>
      <c r="E23" t="s">
        <v>120</v>
      </c>
      <c r="F23" t="s">
        <v>121</v>
      </c>
      <c r="G23">
        <v>1.9565217391304301E-2</v>
      </c>
      <c r="H23" t="s">
        <v>42</v>
      </c>
      <c r="I23" t="s">
        <v>1038</v>
      </c>
      <c r="J23" t="s">
        <v>1650</v>
      </c>
    </row>
    <row r="24" spans="1:10" x14ac:dyDescent="0.2">
      <c r="A24">
        <v>0</v>
      </c>
      <c r="B24">
        <v>1.0860667341452601E-3</v>
      </c>
      <c r="C24">
        <v>5</v>
      </c>
      <c r="D24">
        <v>14</v>
      </c>
      <c r="E24" t="s">
        <v>1051</v>
      </c>
      <c r="F24" t="s">
        <v>1052</v>
      </c>
      <c r="G24">
        <v>1.9565217391304301E-2</v>
      </c>
      <c r="H24" t="s">
        <v>42</v>
      </c>
      <c r="I24" t="s">
        <v>1038</v>
      </c>
      <c r="J24" t="s">
        <v>1650</v>
      </c>
    </row>
    <row r="25" spans="1:10" x14ac:dyDescent="0.2">
      <c r="A25">
        <v>0</v>
      </c>
      <c r="B25">
        <v>2.6589882397130802E-9</v>
      </c>
      <c r="C25">
        <v>2</v>
      </c>
      <c r="D25">
        <v>247</v>
      </c>
      <c r="E25" t="s">
        <v>1053</v>
      </c>
      <c r="F25" t="s">
        <v>1054</v>
      </c>
      <c r="G25">
        <v>0</v>
      </c>
      <c r="H25" t="s">
        <v>42</v>
      </c>
      <c r="I25" t="s">
        <v>1038</v>
      </c>
      <c r="J25" t="s">
        <v>1650</v>
      </c>
    </row>
    <row r="26" spans="1:10" x14ac:dyDescent="0.2">
      <c r="A26">
        <v>0</v>
      </c>
      <c r="B26">
        <v>3.3650407935379898E-3</v>
      </c>
      <c r="C26">
        <v>5</v>
      </c>
      <c r="D26">
        <v>12</v>
      </c>
      <c r="E26" t="s">
        <v>1055</v>
      </c>
      <c r="F26" t="s">
        <v>1056</v>
      </c>
      <c r="G26">
        <v>4.5934959349593497E-2</v>
      </c>
      <c r="H26" t="s">
        <v>42</v>
      </c>
      <c r="I26" t="s">
        <v>1038</v>
      </c>
      <c r="J26" t="s">
        <v>1650</v>
      </c>
    </row>
    <row r="27" spans="1:10" x14ac:dyDescent="0.2">
      <c r="A27">
        <v>0</v>
      </c>
      <c r="B27">
        <v>2.86928953393861E-3</v>
      </c>
      <c r="C27">
        <v>5</v>
      </c>
      <c r="D27">
        <v>87</v>
      </c>
      <c r="E27" t="s">
        <v>313</v>
      </c>
      <c r="F27" t="s">
        <v>314</v>
      </c>
      <c r="G27">
        <v>4.13793103448276E-2</v>
      </c>
      <c r="H27" t="s">
        <v>42</v>
      </c>
      <c r="I27" t="s">
        <v>1038</v>
      </c>
      <c r="J27" t="s">
        <v>1650</v>
      </c>
    </row>
    <row r="28" spans="1:10" x14ac:dyDescent="0.2">
      <c r="A28">
        <v>0</v>
      </c>
      <c r="B28">
        <v>2.3562944216243901E-10</v>
      </c>
      <c r="C28">
        <v>2</v>
      </c>
      <c r="D28">
        <v>116</v>
      </c>
      <c r="E28" t="s">
        <v>1057</v>
      </c>
      <c r="F28" t="s">
        <v>61</v>
      </c>
      <c r="G28">
        <v>0</v>
      </c>
      <c r="H28" t="s">
        <v>42</v>
      </c>
      <c r="I28" t="s">
        <v>1038</v>
      </c>
      <c r="J28" t="s">
        <v>1650</v>
      </c>
    </row>
    <row r="29" spans="1:10" x14ac:dyDescent="0.2">
      <c r="A29">
        <v>0</v>
      </c>
      <c r="B29">
        <v>1.1507856496326099E-3</v>
      </c>
      <c r="C29">
        <v>3</v>
      </c>
      <c r="D29">
        <v>24</v>
      </c>
      <c r="E29" t="s">
        <v>1058</v>
      </c>
      <c r="F29" t="s">
        <v>1059</v>
      </c>
      <c r="G29">
        <v>1.9680851063829798E-2</v>
      </c>
      <c r="H29" t="s">
        <v>42</v>
      </c>
      <c r="I29" t="s">
        <v>1038</v>
      </c>
      <c r="J29" t="s">
        <v>1650</v>
      </c>
    </row>
    <row r="30" spans="1:10" x14ac:dyDescent="0.2">
      <c r="A30">
        <v>0</v>
      </c>
      <c r="B30">
        <v>2.1436682370609301E-4</v>
      </c>
      <c r="C30">
        <v>2</v>
      </c>
      <c r="D30">
        <v>11</v>
      </c>
      <c r="E30" t="s">
        <v>1060</v>
      </c>
      <c r="F30" t="s">
        <v>1061</v>
      </c>
      <c r="G30">
        <v>5.5555555555555497E-3</v>
      </c>
      <c r="H30" t="s">
        <v>42</v>
      </c>
      <c r="I30" t="s">
        <v>1038</v>
      </c>
      <c r="J30" t="s">
        <v>1650</v>
      </c>
    </row>
    <row r="31" spans="1:10" x14ac:dyDescent="0.2">
      <c r="A31">
        <v>0</v>
      </c>
      <c r="B31">
        <v>4.9356121024140103E-7</v>
      </c>
      <c r="C31">
        <v>2</v>
      </c>
      <c r="D31">
        <v>84</v>
      </c>
      <c r="E31" t="s">
        <v>1062</v>
      </c>
      <c r="F31" t="s">
        <v>1063</v>
      </c>
      <c r="G31">
        <v>0</v>
      </c>
      <c r="H31" t="s">
        <v>42</v>
      </c>
      <c r="I31" t="s">
        <v>1038</v>
      </c>
      <c r="J31" t="s">
        <v>1650</v>
      </c>
    </row>
    <row r="32" spans="1:10" x14ac:dyDescent="0.2">
      <c r="A32">
        <v>0</v>
      </c>
      <c r="B32">
        <v>8.9215519196246397E-13</v>
      </c>
      <c r="C32">
        <v>2</v>
      </c>
      <c r="D32">
        <v>722</v>
      </c>
      <c r="E32" t="s">
        <v>62</v>
      </c>
      <c r="F32" t="s">
        <v>63</v>
      </c>
      <c r="G32">
        <v>0</v>
      </c>
      <c r="H32" t="s">
        <v>42</v>
      </c>
      <c r="I32" t="s">
        <v>1038</v>
      </c>
      <c r="J32" t="s">
        <v>1650</v>
      </c>
    </row>
    <row r="33" spans="1:10" x14ac:dyDescent="0.2">
      <c r="A33">
        <v>0</v>
      </c>
      <c r="B33">
        <v>2.8125957191444198E-4</v>
      </c>
      <c r="C33">
        <v>2</v>
      </c>
      <c r="D33">
        <v>30</v>
      </c>
      <c r="E33" t="s">
        <v>1064</v>
      </c>
      <c r="F33" t="s">
        <v>1065</v>
      </c>
      <c r="G33">
        <v>7.5757575757575803E-3</v>
      </c>
      <c r="H33" t="s">
        <v>42</v>
      </c>
      <c r="I33" t="s">
        <v>1038</v>
      </c>
      <c r="J33" t="s">
        <v>1650</v>
      </c>
    </row>
    <row r="34" spans="1:10" x14ac:dyDescent="0.2">
      <c r="A34">
        <v>0</v>
      </c>
      <c r="B34">
        <v>2.1555842910505401E-4</v>
      </c>
      <c r="C34">
        <v>2</v>
      </c>
      <c r="D34">
        <v>15</v>
      </c>
      <c r="E34" t="s">
        <v>1066</v>
      </c>
      <c r="F34" t="s">
        <v>1067</v>
      </c>
      <c r="G34">
        <v>6.2500000000000003E-3</v>
      </c>
      <c r="H34" t="s">
        <v>42</v>
      </c>
      <c r="I34" t="s">
        <v>1038</v>
      </c>
      <c r="J34" t="s">
        <v>1650</v>
      </c>
    </row>
    <row r="35" spans="1:10" x14ac:dyDescent="0.2">
      <c r="A35">
        <v>0</v>
      </c>
      <c r="B35">
        <v>1.6743683722156001E-4</v>
      </c>
      <c r="C35">
        <v>2</v>
      </c>
      <c r="D35">
        <v>509</v>
      </c>
      <c r="E35" t="s">
        <v>66</v>
      </c>
      <c r="F35" t="s">
        <v>67</v>
      </c>
      <c r="G35">
        <v>3.4482758620689698E-3</v>
      </c>
      <c r="H35" t="s">
        <v>42</v>
      </c>
      <c r="I35" t="s">
        <v>1038</v>
      </c>
      <c r="J35" t="s">
        <v>1650</v>
      </c>
    </row>
    <row r="36" spans="1:10" x14ac:dyDescent="0.2">
      <c r="A36">
        <v>0</v>
      </c>
      <c r="B36">
        <v>4.9491078429422E-16</v>
      </c>
      <c r="C36">
        <v>8</v>
      </c>
      <c r="D36">
        <v>146</v>
      </c>
      <c r="E36" t="s">
        <v>315</v>
      </c>
      <c r="F36" t="s">
        <v>316</v>
      </c>
      <c r="G36">
        <v>0</v>
      </c>
      <c r="H36" t="s">
        <v>42</v>
      </c>
      <c r="I36" t="s">
        <v>1038</v>
      </c>
      <c r="J36" t="s">
        <v>1650</v>
      </c>
    </row>
    <row r="37" spans="1:10" x14ac:dyDescent="0.2">
      <c r="A37">
        <v>0</v>
      </c>
      <c r="B37">
        <v>3.49410302897004E-3</v>
      </c>
      <c r="C37">
        <v>3</v>
      </c>
      <c r="D37">
        <v>17</v>
      </c>
      <c r="E37" t="s">
        <v>122</v>
      </c>
      <c r="F37" t="s">
        <v>123</v>
      </c>
      <c r="G37">
        <v>4.6456692913385798E-2</v>
      </c>
      <c r="H37" t="s">
        <v>42</v>
      </c>
      <c r="I37" t="s">
        <v>1038</v>
      </c>
      <c r="J37" t="s">
        <v>1650</v>
      </c>
    </row>
    <row r="38" spans="1:10" x14ac:dyDescent="0.2">
      <c r="A38">
        <v>0</v>
      </c>
      <c r="B38">
        <v>7.03117282490774E-6</v>
      </c>
      <c r="C38">
        <v>2</v>
      </c>
      <c r="D38">
        <v>17</v>
      </c>
      <c r="E38" t="s">
        <v>1068</v>
      </c>
      <c r="F38" t="s">
        <v>1069</v>
      </c>
      <c r="G38">
        <v>0</v>
      </c>
      <c r="H38" t="s">
        <v>42</v>
      </c>
      <c r="I38" t="s">
        <v>1038</v>
      </c>
      <c r="J38" t="s">
        <v>1650</v>
      </c>
    </row>
    <row r="39" spans="1:10" x14ac:dyDescent="0.2">
      <c r="A39">
        <v>0</v>
      </c>
      <c r="B39">
        <v>4.0106255853263099E-27</v>
      </c>
      <c r="C39">
        <v>6</v>
      </c>
      <c r="D39">
        <v>460</v>
      </c>
      <c r="E39" t="s">
        <v>124</v>
      </c>
      <c r="F39" t="s">
        <v>125</v>
      </c>
      <c r="G39">
        <v>0</v>
      </c>
      <c r="H39" t="s">
        <v>42</v>
      </c>
      <c r="I39" t="s">
        <v>1038</v>
      </c>
      <c r="J39" t="s">
        <v>1650</v>
      </c>
    </row>
    <row r="40" spans="1:10" x14ac:dyDescent="0.2">
      <c r="A40">
        <v>0</v>
      </c>
      <c r="B40">
        <v>2.997114293502E-13</v>
      </c>
      <c r="C40">
        <v>2</v>
      </c>
      <c r="D40">
        <v>305</v>
      </c>
      <c r="E40" t="s">
        <v>1070</v>
      </c>
      <c r="F40" t="s">
        <v>173</v>
      </c>
      <c r="G40">
        <v>0</v>
      </c>
      <c r="H40" t="s">
        <v>42</v>
      </c>
      <c r="I40" t="s">
        <v>1038</v>
      </c>
      <c r="J40" t="s">
        <v>1650</v>
      </c>
    </row>
    <row r="41" spans="1:10" x14ac:dyDescent="0.2">
      <c r="A41">
        <v>0</v>
      </c>
      <c r="B41">
        <v>3.8659964128225197E-7</v>
      </c>
      <c r="C41">
        <v>7</v>
      </c>
      <c r="D41">
        <v>83</v>
      </c>
      <c r="E41" t="s">
        <v>660</v>
      </c>
      <c r="F41" t="s">
        <v>661</v>
      </c>
      <c r="G41">
        <v>0</v>
      </c>
      <c r="H41" t="s">
        <v>42</v>
      </c>
      <c r="I41" t="s">
        <v>1038</v>
      </c>
      <c r="J41" t="s">
        <v>1650</v>
      </c>
    </row>
    <row r="42" spans="1:10" x14ac:dyDescent="0.2">
      <c r="A42">
        <v>0</v>
      </c>
      <c r="B42">
        <v>4.4900165117823599E-4</v>
      </c>
      <c r="C42">
        <v>5</v>
      </c>
      <c r="D42">
        <v>55</v>
      </c>
      <c r="E42" t="s">
        <v>128</v>
      </c>
      <c r="F42" t="s">
        <v>129</v>
      </c>
      <c r="G42">
        <v>1.08974358974359E-2</v>
      </c>
      <c r="H42" t="s">
        <v>42</v>
      </c>
      <c r="I42" t="s">
        <v>1038</v>
      </c>
      <c r="J42" t="s">
        <v>1650</v>
      </c>
    </row>
    <row r="43" spans="1:10" x14ac:dyDescent="0.2">
      <c r="A43">
        <v>0</v>
      </c>
      <c r="B43">
        <v>3.3041293694184402E-6</v>
      </c>
      <c r="C43">
        <v>2</v>
      </c>
      <c r="D43">
        <v>214</v>
      </c>
      <c r="E43" t="s">
        <v>359</v>
      </c>
      <c r="F43" t="s">
        <v>360</v>
      </c>
      <c r="G43">
        <v>0</v>
      </c>
      <c r="H43" t="s">
        <v>42</v>
      </c>
      <c r="I43" t="s">
        <v>1038</v>
      </c>
      <c r="J43" t="s">
        <v>1650</v>
      </c>
    </row>
    <row r="44" spans="1:10" x14ac:dyDescent="0.2">
      <c r="A44">
        <v>0</v>
      </c>
      <c r="B44">
        <v>3.3029761647194802E-9</v>
      </c>
      <c r="C44">
        <v>6</v>
      </c>
      <c r="D44">
        <v>24</v>
      </c>
      <c r="E44" t="s">
        <v>662</v>
      </c>
      <c r="F44" t="s">
        <v>1071</v>
      </c>
      <c r="G44">
        <v>0</v>
      </c>
      <c r="H44" t="s">
        <v>42</v>
      </c>
      <c r="I44" t="s">
        <v>1038</v>
      </c>
      <c r="J44" t="s">
        <v>1650</v>
      </c>
    </row>
    <row r="45" spans="1:10" x14ac:dyDescent="0.2">
      <c r="A45">
        <v>0</v>
      </c>
      <c r="B45">
        <v>3.6142688943304998E-4</v>
      </c>
      <c r="C45">
        <v>2</v>
      </c>
      <c r="D45">
        <v>73</v>
      </c>
      <c r="E45" t="s">
        <v>1072</v>
      </c>
      <c r="F45" t="s">
        <v>1073</v>
      </c>
      <c r="G45">
        <v>8.9041095890410992E-3</v>
      </c>
      <c r="H45" t="s">
        <v>42</v>
      </c>
      <c r="I45" t="s">
        <v>1038</v>
      </c>
      <c r="J45" t="s">
        <v>1650</v>
      </c>
    </row>
    <row r="46" spans="1:10" x14ac:dyDescent="0.2">
      <c r="A46">
        <v>0</v>
      </c>
      <c r="B46">
        <v>3.5414116536986399E-3</v>
      </c>
      <c r="C46">
        <v>3</v>
      </c>
      <c r="D46">
        <v>166</v>
      </c>
      <c r="E46" t="s">
        <v>666</v>
      </c>
      <c r="F46" t="s">
        <v>667</v>
      </c>
      <c r="G46">
        <v>4.7265624999999999E-2</v>
      </c>
      <c r="H46" t="s">
        <v>42</v>
      </c>
      <c r="I46" t="s">
        <v>1038</v>
      </c>
      <c r="J46" t="s">
        <v>1650</v>
      </c>
    </row>
    <row r="47" spans="1:10" x14ac:dyDescent="0.2">
      <c r="A47">
        <v>0</v>
      </c>
      <c r="B47">
        <v>4.8406376716939399E-5</v>
      </c>
      <c r="C47">
        <v>5</v>
      </c>
      <c r="D47">
        <v>114</v>
      </c>
      <c r="E47" t="s">
        <v>70</v>
      </c>
      <c r="F47" t="s">
        <v>71</v>
      </c>
      <c r="G47">
        <v>1.08695652173913E-3</v>
      </c>
      <c r="H47" t="s">
        <v>42</v>
      </c>
      <c r="I47" t="s">
        <v>1038</v>
      </c>
      <c r="J47" t="s">
        <v>1650</v>
      </c>
    </row>
    <row r="48" spans="1:10" x14ac:dyDescent="0.2">
      <c r="A48">
        <v>0</v>
      </c>
      <c r="B48">
        <v>4.27199344864084E-10</v>
      </c>
      <c r="C48">
        <v>3</v>
      </c>
      <c r="D48">
        <v>346</v>
      </c>
      <c r="E48" t="s">
        <v>1074</v>
      </c>
      <c r="F48" t="s">
        <v>139</v>
      </c>
      <c r="G48">
        <v>0</v>
      </c>
      <c r="H48" t="s">
        <v>42</v>
      </c>
      <c r="I48" t="s">
        <v>1038</v>
      </c>
      <c r="J48" t="s">
        <v>1650</v>
      </c>
    </row>
    <row r="49" spans="1:10" x14ac:dyDescent="0.2">
      <c r="A49">
        <v>0</v>
      </c>
      <c r="B49">
        <v>5.0701308807800903E-4</v>
      </c>
      <c r="C49">
        <v>2</v>
      </c>
      <c r="D49">
        <v>32</v>
      </c>
      <c r="E49" t="s">
        <v>1075</v>
      </c>
      <c r="F49" t="s">
        <v>1076</v>
      </c>
      <c r="G49">
        <v>1.2025316455696201E-2</v>
      </c>
      <c r="H49" t="s">
        <v>42</v>
      </c>
      <c r="I49" t="s">
        <v>1038</v>
      </c>
      <c r="J49" t="s">
        <v>1650</v>
      </c>
    </row>
    <row r="50" spans="1:10" x14ac:dyDescent="0.2">
      <c r="A50">
        <v>0</v>
      </c>
      <c r="B50">
        <v>3.3919479088042699E-6</v>
      </c>
      <c r="C50">
        <v>2</v>
      </c>
      <c r="D50">
        <v>327</v>
      </c>
      <c r="E50" t="s">
        <v>148</v>
      </c>
      <c r="F50" t="s">
        <v>149</v>
      </c>
      <c r="G50">
        <v>0</v>
      </c>
      <c r="H50" t="s">
        <v>42</v>
      </c>
      <c r="I50" t="s">
        <v>1038</v>
      </c>
      <c r="J50" t="s">
        <v>1655</v>
      </c>
    </row>
    <row r="51" spans="1:10" x14ac:dyDescent="0.2">
      <c r="A51">
        <v>0</v>
      </c>
      <c r="B51">
        <v>2.7831924239994201E-3</v>
      </c>
      <c r="C51">
        <v>3</v>
      </c>
      <c r="D51">
        <v>33</v>
      </c>
      <c r="E51" t="s">
        <v>150</v>
      </c>
      <c r="F51" t="s">
        <v>151</v>
      </c>
      <c r="G51">
        <v>4.0869565217391303E-2</v>
      </c>
      <c r="H51" t="s">
        <v>42</v>
      </c>
      <c r="I51" t="s">
        <v>1038</v>
      </c>
      <c r="J51" t="s">
        <v>1650</v>
      </c>
    </row>
    <row r="52" spans="1:10" x14ac:dyDescent="0.2">
      <c r="A52">
        <v>0</v>
      </c>
      <c r="B52">
        <v>6.8185284855880703E-4</v>
      </c>
      <c r="C52">
        <v>2</v>
      </c>
      <c r="D52">
        <v>9</v>
      </c>
      <c r="E52" t="s">
        <v>1077</v>
      </c>
      <c r="F52" t="s">
        <v>1078</v>
      </c>
      <c r="G52">
        <v>1.2941176470588201E-2</v>
      </c>
      <c r="H52" t="s">
        <v>42</v>
      </c>
      <c r="I52" t="s">
        <v>1038</v>
      </c>
      <c r="J52" t="s">
        <v>1650</v>
      </c>
    </row>
    <row r="53" spans="1:10" x14ac:dyDescent="0.2">
      <c r="A53">
        <v>0</v>
      </c>
      <c r="B53">
        <v>6.6533262362473695E-4</v>
      </c>
      <c r="C53">
        <v>4</v>
      </c>
      <c r="D53">
        <v>70</v>
      </c>
      <c r="E53" t="s">
        <v>366</v>
      </c>
      <c r="F53" t="s">
        <v>367</v>
      </c>
      <c r="G53">
        <v>1.2804878048780499E-2</v>
      </c>
      <c r="H53" t="s">
        <v>42</v>
      </c>
      <c r="I53" t="s">
        <v>1038</v>
      </c>
      <c r="J53" t="s">
        <v>1655</v>
      </c>
    </row>
    <row r="54" spans="1:10" x14ac:dyDescent="0.2">
      <c r="A54">
        <v>0</v>
      </c>
      <c r="B54">
        <v>2.1273142696098001E-3</v>
      </c>
      <c r="C54">
        <v>6</v>
      </c>
      <c r="D54">
        <v>11</v>
      </c>
      <c r="E54" t="s">
        <v>1079</v>
      </c>
      <c r="F54" t="s">
        <v>1080</v>
      </c>
      <c r="G54">
        <v>3.52380952380952E-2</v>
      </c>
      <c r="H54" t="s">
        <v>42</v>
      </c>
      <c r="I54" t="s">
        <v>1038</v>
      </c>
      <c r="J54" t="s">
        <v>1650</v>
      </c>
    </row>
    <row r="55" spans="1:10" x14ac:dyDescent="0.2">
      <c r="A55">
        <v>0</v>
      </c>
      <c r="B55">
        <v>3.5207981211443298E-4</v>
      </c>
      <c r="C55">
        <v>2</v>
      </c>
      <c r="D55">
        <v>16</v>
      </c>
      <c r="E55" t="s">
        <v>1081</v>
      </c>
      <c r="F55" t="s">
        <v>1082</v>
      </c>
      <c r="G55">
        <v>9.0277777777777804E-3</v>
      </c>
      <c r="H55" t="s">
        <v>42</v>
      </c>
      <c r="I55" t="s">
        <v>1038</v>
      </c>
      <c r="J55" t="s">
        <v>1655</v>
      </c>
    </row>
    <row r="56" spans="1:10" x14ac:dyDescent="0.2">
      <c r="A56">
        <v>0</v>
      </c>
      <c r="B56">
        <v>5.9369861014922296E-4</v>
      </c>
      <c r="C56">
        <v>2</v>
      </c>
      <c r="D56">
        <v>22</v>
      </c>
      <c r="E56" t="s">
        <v>1083</v>
      </c>
      <c r="F56" t="s">
        <v>1084</v>
      </c>
      <c r="G56">
        <v>1.2345679012345699E-2</v>
      </c>
      <c r="H56" t="s">
        <v>42</v>
      </c>
      <c r="I56" t="s">
        <v>1038</v>
      </c>
      <c r="J56" t="s">
        <v>1650</v>
      </c>
    </row>
    <row r="57" spans="1:10" x14ac:dyDescent="0.2">
      <c r="A57">
        <v>0</v>
      </c>
      <c r="B57">
        <v>2.8347709407822499E-11</v>
      </c>
      <c r="C57">
        <v>2</v>
      </c>
      <c r="D57">
        <v>189</v>
      </c>
      <c r="E57" t="s">
        <v>1085</v>
      </c>
      <c r="F57" t="s">
        <v>1086</v>
      </c>
      <c r="G57">
        <v>0</v>
      </c>
      <c r="H57" t="s">
        <v>42</v>
      </c>
      <c r="I57" t="s">
        <v>1038</v>
      </c>
      <c r="J57" t="s">
        <v>1650</v>
      </c>
    </row>
    <row r="58" spans="1:10" x14ac:dyDescent="0.2">
      <c r="A58">
        <v>0</v>
      </c>
      <c r="B58">
        <v>3.3650407935379898E-3</v>
      </c>
      <c r="C58">
        <v>5</v>
      </c>
      <c r="D58">
        <v>12</v>
      </c>
      <c r="E58" t="s">
        <v>1087</v>
      </c>
      <c r="F58" t="s">
        <v>1088</v>
      </c>
      <c r="G58">
        <v>4.5934959349593497E-2</v>
      </c>
      <c r="H58" t="s">
        <v>42</v>
      </c>
      <c r="I58" t="s">
        <v>1038</v>
      </c>
      <c r="J58" t="s">
        <v>1650</v>
      </c>
    </row>
    <row r="59" spans="1:10" x14ac:dyDescent="0.2">
      <c r="A59">
        <v>0</v>
      </c>
      <c r="B59">
        <v>1.6066354174797601E-3</v>
      </c>
      <c r="C59">
        <v>3</v>
      </c>
      <c r="D59">
        <v>62</v>
      </c>
      <c r="E59" t="s">
        <v>1089</v>
      </c>
      <c r="F59" t="s">
        <v>1090</v>
      </c>
      <c r="G59">
        <v>2.42574257425743E-2</v>
      </c>
      <c r="H59" t="s">
        <v>42</v>
      </c>
      <c r="I59" t="s">
        <v>1038</v>
      </c>
      <c r="J59" t="s">
        <v>1650</v>
      </c>
    </row>
    <row r="60" spans="1:10" x14ac:dyDescent="0.2">
      <c r="A60">
        <v>0</v>
      </c>
      <c r="B60">
        <v>4.4416144979520002E-6</v>
      </c>
      <c r="C60">
        <v>2</v>
      </c>
      <c r="D60">
        <v>939</v>
      </c>
      <c r="E60" t="s">
        <v>1091</v>
      </c>
      <c r="F60" t="s">
        <v>75</v>
      </c>
      <c r="G60">
        <v>0</v>
      </c>
      <c r="H60" t="s">
        <v>42</v>
      </c>
      <c r="I60" t="s">
        <v>1038</v>
      </c>
      <c r="J60" t="s">
        <v>1650</v>
      </c>
    </row>
    <row r="61" spans="1:10" x14ac:dyDescent="0.2">
      <c r="A61">
        <v>0</v>
      </c>
      <c r="B61">
        <v>2.59405736119169E-8</v>
      </c>
      <c r="C61">
        <v>6</v>
      </c>
      <c r="D61">
        <v>35</v>
      </c>
      <c r="E61" t="s">
        <v>1092</v>
      </c>
      <c r="F61" t="s">
        <v>1093</v>
      </c>
      <c r="G61">
        <v>0</v>
      </c>
      <c r="H61" t="s">
        <v>42</v>
      </c>
      <c r="I61" t="s">
        <v>1038</v>
      </c>
      <c r="J61" t="s">
        <v>1650</v>
      </c>
    </row>
    <row r="62" spans="1:10" x14ac:dyDescent="0.2">
      <c r="A62">
        <v>0</v>
      </c>
      <c r="B62">
        <v>2.4827744154036198E-4</v>
      </c>
      <c r="C62">
        <v>6</v>
      </c>
      <c r="D62">
        <v>455</v>
      </c>
      <c r="E62" t="s">
        <v>72</v>
      </c>
      <c r="F62" t="s">
        <v>73</v>
      </c>
      <c r="G62">
        <v>7.6923076923076901E-3</v>
      </c>
      <c r="H62" t="s">
        <v>42</v>
      </c>
      <c r="I62" t="s">
        <v>1038</v>
      </c>
      <c r="J62" t="s">
        <v>1650</v>
      </c>
    </row>
    <row r="63" spans="1:10" x14ac:dyDescent="0.2">
      <c r="A63">
        <v>0</v>
      </c>
      <c r="B63">
        <v>1.44236182010528E-5</v>
      </c>
      <c r="C63">
        <v>2</v>
      </c>
      <c r="D63">
        <v>272</v>
      </c>
      <c r="E63" t="s">
        <v>168</v>
      </c>
      <c r="F63" t="s">
        <v>169</v>
      </c>
      <c r="G63">
        <v>0</v>
      </c>
      <c r="H63" t="s">
        <v>42</v>
      </c>
      <c r="I63" t="s">
        <v>1038</v>
      </c>
      <c r="J63" t="s">
        <v>1655</v>
      </c>
    </row>
    <row r="64" spans="1:10" x14ac:dyDescent="0.2">
      <c r="A64">
        <v>0</v>
      </c>
      <c r="B64">
        <v>6.6662631739830298E-4</v>
      </c>
      <c r="C64">
        <v>2</v>
      </c>
      <c r="D64">
        <v>33</v>
      </c>
      <c r="E64" t="s">
        <v>1094</v>
      </c>
      <c r="F64" t="s">
        <v>1095</v>
      </c>
      <c r="G64">
        <v>1.2500000000000001E-2</v>
      </c>
      <c r="H64" t="s">
        <v>42</v>
      </c>
      <c r="I64" t="s">
        <v>1038</v>
      </c>
      <c r="J64" t="s">
        <v>1655</v>
      </c>
    </row>
    <row r="65" spans="1:10" x14ac:dyDescent="0.2">
      <c r="A65">
        <v>0</v>
      </c>
      <c r="B65">
        <v>1.5020695813967901E-4</v>
      </c>
      <c r="C65">
        <v>2</v>
      </c>
      <c r="D65">
        <v>101</v>
      </c>
      <c r="E65" t="s">
        <v>1096</v>
      </c>
      <c r="F65" t="s">
        <v>79</v>
      </c>
      <c r="G65">
        <v>2.6785714285714299E-3</v>
      </c>
      <c r="H65" t="s">
        <v>42</v>
      </c>
      <c r="I65" t="s">
        <v>1038</v>
      </c>
      <c r="J65" t="s">
        <v>1650</v>
      </c>
    </row>
    <row r="66" spans="1:10" x14ac:dyDescent="0.2">
      <c r="A66">
        <v>0</v>
      </c>
      <c r="B66">
        <v>2.9361853429682502E-3</v>
      </c>
      <c r="C66">
        <v>-1</v>
      </c>
      <c r="D66">
        <v>59</v>
      </c>
      <c r="E66" t="s">
        <v>717</v>
      </c>
      <c r="F66" t="s">
        <v>718</v>
      </c>
      <c r="G66">
        <v>4.1525423728813599E-2</v>
      </c>
      <c r="H66" t="s">
        <v>42</v>
      </c>
      <c r="I66" t="s">
        <v>1038</v>
      </c>
      <c r="J66" t="s">
        <v>1650</v>
      </c>
    </row>
    <row r="67" spans="1:10" x14ac:dyDescent="0.2">
      <c r="A67">
        <v>0</v>
      </c>
      <c r="B67">
        <v>7.7021846879143098E-7</v>
      </c>
      <c r="C67">
        <v>3</v>
      </c>
      <c r="D67">
        <v>155</v>
      </c>
      <c r="E67" t="s">
        <v>1097</v>
      </c>
      <c r="F67" t="s">
        <v>1098</v>
      </c>
      <c r="G67">
        <v>0</v>
      </c>
      <c r="H67" t="s">
        <v>42</v>
      </c>
      <c r="I67" t="s">
        <v>1038</v>
      </c>
      <c r="J67" t="s">
        <v>1650</v>
      </c>
    </row>
    <row r="68" spans="1:10" x14ac:dyDescent="0.2">
      <c r="A68">
        <v>0</v>
      </c>
      <c r="B68">
        <v>2.3973966446713899E-5</v>
      </c>
      <c r="C68">
        <v>2</v>
      </c>
      <c r="D68">
        <v>54</v>
      </c>
      <c r="E68" t="s">
        <v>1099</v>
      </c>
      <c r="F68" t="s">
        <v>1100</v>
      </c>
      <c r="G68">
        <v>0</v>
      </c>
      <c r="H68" t="s">
        <v>42</v>
      </c>
      <c r="I68" t="s">
        <v>1038</v>
      </c>
      <c r="J68" t="s">
        <v>1650</v>
      </c>
    </row>
    <row r="69" spans="1:10" x14ac:dyDescent="0.2">
      <c r="A69">
        <v>0</v>
      </c>
      <c r="B69">
        <v>1.06227510524648E-13</v>
      </c>
      <c r="C69">
        <v>4</v>
      </c>
      <c r="D69">
        <v>932</v>
      </c>
      <c r="E69" t="s">
        <v>1101</v>
      </c>
      <c r="F69" t="s">
        <v>1102</v>
      </c>
      <c r="G69">
        <v>0</v>
      </c>
      <c r="H69" t="s">
        <v>42</v>
      </c>
      <c r="I69" t="s">
        <v>1038</v>
      </c>
      <c r="J69" t="s">
        <v>1650</v>
      </c>
    </row>
    <row r="70" spans="1:10" x14ac:dyDescent="0.2">
      <c r="A70">
        <v>0</v>
      </c>
      <c r="B70">
        <v>1.6446906266755901E-4</v>
      </c>
      <c r="C70">
        <v>6</v>
      </c>
      <c r="D70">
        <v>315</v>
      </c>
      <c r="E70" t="s">
        <v>176</v>
      </c>
      <c r="F70" t="s">
        <v>177</v>
      </c>
      <c r="G70">
        <v>3.5087719298245602E-3</v>
      </c>
      <c r="H70" t="s">
        <v>42</v>
      </c>
      <c r="I70" t="s">
        <v>1038</v>
      </c>
      <c r="J70" t="s">
        <v>1650</v>
      </c>
    </row>
    <row r="71" spans="1:10" x14ac:dyDescent="0.2">
      <c r="A71">
        <v>0</v>
      </c>
      <c r="B71">
        <v>7.4446883191847196E-7</v>
      </c>
      <c r="C71">
        <v>2</v>
      </c>
      <c r="D71">
        <v>116</v>
      </c>
      <c r="E71" t="s">
        <v>1103</v>
      </c>
      <c r="F71" t="s">
        <v>1104</v>
      </c>
      <c r="G71">
        <v>0</v>
      </c>
      <c r="H71" t="s">
        <v>42</v>
      </c>
      <c r="I71" t="s">
        <v>1038</v>
      </c>
      <c r="J71" t="s">
        <v>1650</v>
      </c>
    </row>
    <row r="72" spans="1:10" x14ac:dyDescent="0.2">
      <c r="A72">
        <v>0</v>
      </c>
      <c r="B72">
        <v>9.0295137701016396E-7</v>
      </c>
      <c r="C72">
        <v>2</v>
      </c>
      <c r="D72">
        <v>415</v>
      </c>
      <c r="E72" t="s">
        <v>180</v>
      </c>
      <c r="F72" t="s">
        <v>181</v>
      </c>
      <c r="G72">
        <v>0</v>
      </c>
      <c r="H72" t="s">
        <v>42</v>
      </c>
      <c r="I72" t="s">
        <v>1038</v>
      </c>
      <c r="J72" t="s">
        <v>1655</v>
      </c>
    </row>
    <row r="73" spans="1:10" x14ac:dyDescent="0.2">
      <c r="A73">
        <v>0</v>
      </c>
      <c r="B73">
        <v>2.14113589170866E-7</v>
      </c>
      <c r="C73">
        <v>2</v>
      </c>
      <c r="D73">
        <v>54</v>
      </c>
      <c r="E73" t="s">
        <v>384</v>
      </c>
      <c r="F73" t="s">
        <v>385</v>
      </c>
      <c r="G73">
        <v>0</v>
      </c>
      <c r="H73" t="s">
        <v>42</v>
      </c>
      <c r="I73" t="s">
        <v>1038</v>
      </c>
      <c r="J73" t="s">
        <v>1650</v>
      </c>
    </row>
    <row r="74" spans="1:10" x14ac:dyDescent="0.2">
      <c r="A74">
        <v>0</v>
      </c>
      <c r="B74">
        <v>1.94574699755122E-10</v>
      </c>
      <c r="C74">
        <v>4</v>
      </c>
      <c r="D74">
        <v>99</v>
      </c>
      <c r="E74" t="s">
        <v>188</v>
      </c>
      <c r="F74" t="s">
        <v>1105</v>
      </c>
      <c r="G74">
        <v>0</v>
      </c>
      <c r="H74" t="s">
        <v>42</v>
      </c>
      <c r="I74" t="s">
        <v>1038</v>
      </c>
      <c r="J74" t="s">
        <v>1650</v>
      </c>
    </row>
    <row r="75" spans="1:10" x14ac:dyDescent="0.2">
      <c r="A75">
        <v>0</v>
      </c>
      <c r="B75">
        <v>1.1545804429194E-6</v>
      </c>
      <c r="C75">
        <v>5</v>
      </c>
      <c r="D75">
        <v>30</v>
      </c>
      <c r="E75" t="s">
        <v>1106</v>
      </c>
      <c r="F75" t="s">
        <v>1107</v>
      </c>
      <c r="G75">
        <v>0</v>
      </c>
      <c r="H75" t="s">
        <v>42</v>
      </c>
      <c r="I75" t="s">
        <v>1038</v>
      </c>
      <c r="J75" t="s">
        <v>1650</v>
      </c>
    </row>
    <row r="76" spans="1:10" x14ac:dyDescent="0.2">
      <c r="A76">
        <v>0</v>
      </c>
      <c r="B76">
        <v>1.2807820526097201E-7</v>
      </c>
      <c r="C76">
        <v>2</v>
      </c>
      <c r="D76">
        <v>34</v>
      </c>
      <c r="E76" t="s">
        <v>1108</v>
      </c>
      <c r="F76" t="s">
        <v>1109</v>
      </c>
      <c r="G76">
        <v>0</v>
      </c>
      <c r="H76" t="s">
        <v>42</v>
      </c>
      <c r="I76" t="s">
        <v>1038</v>
      </c>
      <c r="J76" t="s">
        <v>1650</v>
      </c>
    </row>
    <row r="77" spans="1:10" x14ac:dyDescent="0.2">
      <c r="A77">
        <v>0</v>
      </c>
      <c r="B77">
        <v>3.4590723391600899E-3</v>
      </c>
      <c r="C77">
        <v>2</v>
      </c>
      <c r="D77">
        <v>28</v>
      </c>
      <c r="E77" t="s">
        <v>196</v>
      </c>
      <c r="F77" t="s">
        <v>197</v>
      </c>
      <c r="G77">
        <v>4.7177419354838698E-2</v>
      </c>
      <c r="H77" t="s">
        <v>42</v>
      </c>
      <c r="I77" t="s">
        <v>1038</v>
      </c>
      <c r="J77" t="s">
        <v>1650</v>
      </c>
    </row>
    <row r="78" spans="1:10" x14ac:dyDescent="0.2">
      <c r="A78">
        <v>0</v>
      </c>
      <c r="B78">
        <v>1.5745851946253601E-5</v>
      </c>
      <c r="C78">
        <v>2</v>
      </c>
      <c r="D78">
        <v>775</v>
      </c>
      <c r="E78" t="s">
        <v>1110</v>
      </c>
      <c r="F78" t="s">
        <v>1111</v>
      </c>
      <c r="G78">
        <v>0</v>
      </c>
      <c r="H78" t="s">
        <v>42</v>
      </c>
      <c r="I78" t="s">
        <v>1038</v>
      </c>
      <c r="J78" t="s">
        <v>1650</v>
      </c>
    </row>
    <row r="79" spans="1:10" x14ac:dyDescent="0.2">
      <c r="A79">
        <v>0</v>
      </c>
      <c r="B79">
        <v>3.4362848814933601E-4</v>
      </c>
      <c r="C79">
        <v>3</v>
      </c>
      <c r="D79">
        <v>86</v>
      </c>
      <c r="E79" t="s">
        <v>1112</v>
      </c>
      <c r="F79" t="s">
        <v>1113</v>
      </c>
      <c r="G79">
        <v>8.4507042253521101E-3</v>
      </c>
      <c r="H79" t="s">
        <v>42</v>
      </c>
      <c r="I79" t="s">
        <v>1038</v>
      </c>
      <c r="J79" t="s">
        <v>1650</v>
      </c>
    </row>
    <row r="80" spans="1:10" x14ac:dyDescent="0.2">
      <c r="A80">
        <v>0</v>
      </c>
      <c r="B80">
        <v>1.42187852798095E-7</v>
      </c>
      <c r="C80">
        <v>2</v>
      </c>
      <c r="D80">
        <v>30</v>
      </c>
      <c r="E80" t="s">
        <v>1114</v>
      </c>
      <c r="F80" t="s">
        <v>1115</v>
      </c>
      <c r="G80">
        <v>0</v>
      </c>
      <c r="H80" t="s">
        <v>42</v>
      </c>
      <c r="I80" t="s">
        <v>1038</v>
      </c>
      <c r="J80" t="s">
        <v>1650</v>
      </c>
    </row>
    <row r="81" spans="1:10" x14ac:dyDescent="0.2">
      <c r="A81">
        <v>0</v>
      </c>
      <c r="B81">
        <v>3.3650407935379898E-3</v>
      </c>
      <c r="C81">
        <v>3</v>
      </c>
      <c r="D81">
        <v>12</v>
      </c>
      <c r="E81" t="s">
        <v>1116</v>
      </c>
      <c r="F81" t="s">
        <v>1117</v>
      </c>
      <c r="G81">
        <v>4.5934959349593497E-2</v>
      </c>
      <c r="H81" t="s">
        <v>42</v>
      </c>
      <c r="I81" t="s">
        <v>1038</v>
      </c>
      <c r="J81" t="s">
        <v>1650</v>
      </c>
    </row>
    <row r="82" spans="1:10" x14ac:dyDescent="0.2">
      <c r="A82">
        <v>0</v>
      </c>
      <c r="B82">
        <v>3.0789007667845099E-3</v>
      </c>
      <c r="C82">
        <v>6</v>
      </c>
      <c r="D82">
        <v>46</v>
      </c>
      <c r="E82" t="s">
        <v>1118</v>
      </c>
      <c r="F82" t="s">
        <v>1119</v>
      </c>
      <c r="G82">
        <v>4.4117647058823498E-2</v>
      </c>
      <c r="H82" t="s">
        <v>42</v>
      </c>
      <c r="I82" t="s">
        <v>1038</v>
      </c>
      <c r="J82" t="s">
        <v>1650</v>
      </c>
    </row>
    <row r="83" spans="1:10" x14ac:dyDescent="0.2">
      <c r="A83">
        <v>0</v>
      </c>
      <c r="B83">
        <v>2.3475559726546099E-3</v>
      </c>
      <c r="C83">
        <v>4</v>
      </c>
      <c r="D83">
        <v>21</v>
      </c>
      <c r="E83" t="s">
        <v>1120</v>
      </c>
      <c r="F83" t="s">
        <v>1121</v>
      </c>
      <c r="G83">
        <v>3.9189189189189198E-2</v>
      </c>
      <c r="H83" t="s">
        <v>42</v>
      </c>
      <c r="I83" t="s">
        <v>1038</v>
      </c>
      <c r="J83" t="s">
        <v>1650</v>
      </c>
    </row>
    <row r="84" spans="1:10" x14ac:dyDescent="0.2">
      <c r="A84">
        <v>0</v>
      </c>
      <c r="B84">
        <v>1.2058237071581001E-9</v>
      </c>
      <c r="C84">
        <v>2</v>
      </c>
      <c r="D84">
        <v>84</v>
      </c>
      <c r="E84" t="s">
        <v>392</v>
      </c>
      <c r="F84" t="s">
        <v>393</v>
      </c>
      <c r="G84">
        <v>0</v>
      </c>
      <c r="H84" t="s">
        <v>42</v>
      </c>
      <c r="I84" t="s">
        <v>1038</v>
      </c>
      <c r="J84" t="s">
        <v>1650</v>
      </c>
    </row>
    <row r="85" spans="1:10" x14ac:dyDescent="0.2">
      <c r="A85">
        <v>0</v>
      </c>
      <c r="B85">
        <v>2.4550010794066502E-3</v>
      </c>
      <c r="C85">
        <v>2</v>
      </c>
      <c r="D85">
        <v>16</v>
      </c>
      <c r="E85" t="s">
        <v>1122</v>
      </c>
      <c r="F85" t="s">
        <v>1123</v>
      </c>
      <c r="G85">
        <v>3.9285714285714299E-2</v>
      </c>
      <c r="H85" t="s">
        <v>42</v>
      </c>
      <c r="I85" t="s">
        <v>1038</v>
      </c>
      <c r="J85" t="s">
        <v>1650</v>
      </c>
    </row>
    <row r="86" spans="1:10" x14ac:dyDescent="0.2">
      <c r="A86">
        <v>0</v>
      </c>
      <c r="B86">
        <v>2.2026835281776301E-3</v>
      </c>
      <c r="C86">
        <v>2</v>
      </c>
      <c r="D86">
        <v>7</v>
      </c>
      <c r="E86" t="s">
        <v>1124</v>
      </c>
      <c r="F86" t="s">
        <v>1125</v>
      </c>
      <c r="G86">
        <v>3.6238532110091697E-2</v>
      </c>
      <c r="H86" t="s">
        <v>42</v>
      </c>
      <c r="I86" t="s">
        <v>1038</v>
      </c>
      <c r="J86" t="s">
        <v>1655</v>
      </c>
    </row>
    <row r="87" spans="1:10" x14ac:dyDescent="0.2">
      <c r="A87">
        <v>0</v>
      </c>
      <c r="B87">
        <v>3.0545705826053097E-4</v>
      </c>
      <c r="C87">
        <v>5</v>
      </c>
      <c r="D87">
        <v>218</v>
      </c>
      <c r="E87" t="s">
        <v>394</v>
      </c>
      <c r="F87" t="s">
        <v>395</v>
      </c>
      <c r="G87">
        <v>8.0882352941176495E-3</v>
      </c>
      <c r="H87" t="s">
        <v>42</v>
      </c>
      <c r="I87" t="s">
        <v>1038</v>
      </c>
      <c r="J87" t="s">
        <v>1650</v>
      </c>
    </row>
    <row r="88" spans="1:10" x14ac:dyDescent="0.2">
      <c r="A88">
        <v>0</v>
      </c>
      <c r="B88">
        <v>5.1484574354340598E-4</v>
      </c>
      <c r="C88">
        <v>2</v>
      </c>
      <c r="D88">
        <v>689</v>
      </c>
      <c r="E88" t="s">
        <v>222</v>
      </c>
      <c r="F88" t="s">
        <v>223</v>
      </c>
      <c r="G88">
        <v>1.1875E-2</v>
      </c>
      <c r="H88" t="s">
        <v>42</v>
      </c>
      <c r="I88" t="s">
        <v>1038</v>
      </c>
      <c r="J88" t="s">
        <v>1650</v>
      </c>
    </row>
    <row r="89" spans="1:10" x14ac:dyDescent="0.2">
      <c r="A89">
        <v>0</v>
      </c>
      <c r="B89">
        <v>3.6846376049256099E-15</v>
      </c>
      <c r="C89">
        <v>2</v>
      </c>
      <c r="D89">
        <v>197</v>
      </c>
      <c r="E89" t="s">
        <v>319</v>
      </c>
      <c r="F89" t="s">
        <v>320</v>
      </c>
      <c r="G89">
        <v>0</v>
      </c>
      <c r="H89" t="s">
        <v>42</v>
      </c>
      <c r="I89" t="s">
        <v>1038</v>
      </c>
      <c r="J89" t="s">
        <v>1650</v>
      </c>
    </row>
    <row r="90" spans="1:10" x14ac:dyDescent="0.2">
      <c r="A90">
        <v>0</v>
      </c>
      <c r="B90">
        <v>3.3650407935379898E-3</v>
      </c>
      <c r="C90">
        <v>2</v>
      </c>
      <c r="D90">
        <v>12</v>
      </c>
      <c r="E90" t="s">
        <v>1126</v>
      </c>
      <c r="F90" t="s">
        <v>1127</v>
      </c>
      <c r="G90">
        <v>4.5934959349593497E-2</v>
      </c>
      <c r="H90" t="s">
        <v>42</v>
      </c>
      <c r="I90" t="s">
        <v>1038</v>
      </c>
      <c r="J90" t="s">
        <v>1650</v>
      </c>
    </row>
    <row r="91" spans="1:10" x14ac:dyDescent="0.2">
      <c r="A91">
        <v>0</v>
      </c>
      <c r="B91">
        <v>7.8754853024580996E-5</v>
      </c>
      <c r="C91">
        <v>2</v>
      </c>
      <c r="D91">
        <v>65</v>
      </c>
      <c r="E91" t="s">
        <v>86</v>
      </c>
      <c r="F91" t="s">
        <v>87</v>
      </c>
      <c r="G91">
        <v>2.0833333333333298E-3</v>
      </c>
      <c r="H91" t="s">
        <v>42</v>
      </c>
      <c r="I91" t="s">
        <v>1038</v>
      </c>
      <c r="J91" t="s">
        <v>1650</v>
      </c>
    </row>
    <row r="92" spans="1:10" x14ac:dyDescent="0.2">
      <c r="A92">
        <v>0</v>
      </c>
      <c r="B92">
        <v>1.0622188267051099E-5</v>
      </c>
      <c r="C92">
        <v>2</v>
      </c>
      <c r="D92">
        <v>269</v>
      </c>
      <c r="E92" t="s">
        <v>398</v>
      </c>
      <c r="F92" t="s">
        <v>399</v>
      </c>
      <c r="G92">
        <v>0</v>
      </c>
      <c r="H92" t="s">
        <v>42</v>
      </c>
      <c r="I92" t="s">
        <v>1038</v>
      </c>
      <c r="J92" t="s">
        <v>1650</v>
      </c>
    </row>
    <row r="93" spans="1:10" x14ac:dyDescent="0.2">
      <c r="A93">
        <v>0</v>
      </c>
      <c r="B93">
        <v>5.3868170847137102E-18</v>
      </c>
      <c r="C93">
        <v>6</v>
      </c>
      <c r="D93">
        <v>293</v>
      </c>
      <c r="E93" t="s">
        <v>321</v>
      </c>
      <c r="F93" t="s">
        <v>322</v>
      </c>
      <c r="G93">
        <v>0</v>
      </c>
      <c r="H93" t="s">
        <v>42</v>
      </c>
      <c r="I93" t="s">
        <v>1038</v>
      </c>
      <c r="J93" t="s">
        <v>1650</v>
      </c>
    </row>
    <row r="94" spans="1:10" x14ac:dyDescent="0.2">
      <c r="A94">
        <v>0</v>
      </c>
      <c r="B94">
        <v>1.4270575775785201E-4</v>
      </c>
      <c r="C94">
        <v>2</v>
      </c>
      <c r="D94">
        <v>44</v>
      </c>
      <c r="E94" t="s">
        <v>1128</v>
      </c>
      <c r="F94" t="s">
        <v>1129</v>
      </c>
      <c r="G94">
        <v>2.7272727272727301E-3</v>
      </c>
      <c r="H94" t="s">
        <v>42</v>
      </c>
      <c r="I94" t="s">
        <v>1038</v>
      </c>
      <c r="J94" t="s">
        <v>1650</v>
      </c>
    </row>
    <row r="95" spans="1:10" x14ac:dyDescent="0.2">
      <c r="A95">
        <v>0</v>
      </c>
      <c r="B95">
        <v>3.61978882996387E-4</v>
      </c>
      <c r="C95">
        <v>6</v>
      </c>
      <c r="D95">
        <v>42</v>
      </c>
      <c r="E95" t="s">
        <v>1130</v>
      </c>
      <c r="F95" t="s">
        <v>1131</v>
      </c>
      <c r="G95">
        <v>8.7837837837837808E-3</v>
      </c>
      <c r="H95" t="s">
        <v>42</v>
      </c>
      <c r="I95" t="s">
        <v>1038</v>
      </c>
      <c r="J95" t="s">
        <v>1650</v>
      </c>
    </row>
    <row r="96" spans="1:10" x14ac:dyDescent="0.2">
      <c r="A96">
        <v>0</v>
      </c>
      <c r="B96">
        <v>1.40029832684613E-4</v>
      </c>
      <c r="C96">
        <v>4</v>
      </c>
      <c r="D96">
        <v>23</v>
      </c>
      <c r="E96" t="s">
        <v>402</v>
      </c>
      <c r="F96" t="s">
        <v>403</v>
      </c>
      <c r="G96">
        <v>2.7777777777777801E-3</v>
      </c>
      <c r="H96" t="s">
        <v>42</v>
      </c>
      <c r="I96" t="s">
        <v>1038</v>
      </c>
      <c r="J96" t="s">
        <v>1650</v>
      </c>
    </row>
    <row r="97" spans="1:10" x14ac:dyDescent="0.2">
      <c r="A97">
        <v>0</v>
      </c>
      <c r="B97">
        <v>3.49410302897004E-3</v>
      </c>
      <c r="C97">
        <v>2</v>
      </c>
      <c r="D97">
        <v>17</v>
      </c>
      <c r="E97" t="s">
        <v>1132</v>
      </c>
      <c r="F97" t="s">
        <v>1133</v>
      </c>
      <c r="G97">
        <v>4.6456692913385798E-2</v>
      </c>
      <c r="H97" t="s">
        <v>42</v>
      </c>
      <c r="I97" t="s">
        <v>1038</v>
      </c>
      <c r="J97" t="s">
        <v>1650</v>
      </c>
    </row>
    <row r="98" spans="1:10" x14ac:dyDescent="0.2">
      <c r="A98">
        <v>0</v>
      </c>
      <c r="B98">
        <v>1.25407801101243E-3</v>
      </c>
      <c r="C98">
        <v>2</v>
      </c>
      <c r="D98">
        <v>95</v>
      </c>
      <c r="E98" t="s">
        <v>1134</v>
      </c>
      <c r="F98" t="s">
        <v>1135</v>
      </c>
      <c r="G98">
        <v>1.97916666666667E-2</v>
      </c>
      <c r="H98" t="s">
        <v>42</v>
      </c>
      <c r="I98" t="s">
        <v>1038</v>
      </c>
      <c r="J98" t="s">
        <v>1650</v>
      </c>
    </row>
    <row r="99" spans="1:10" x14ac:dyDescent="0.2">
      <c r="A99">
        <v>0</v>
      </c>
      <c r="B99">
        <v>1.6664056041720699E-3</v>
      </c>
      <c r="C99">
        <v>6</v>
      </c>
      <c r="D99">
        <v>15</v>
      </c>
      <c r="E99" t="s">
        <v>1136</v>
      </c>
      <c r="F99" t="s">
        <v>1137</v>
      </c>
      <c r="G99">
        <v>2.5480769230769199E-2</v>
      </c>
      <c r="H99" t="s">
        <v>42</v>
      </c>
      <c r="I99" t="s">
        <v>1038</v>
      </c>
      <c r="J99" t="s">
        <v>1650</v>
      </c>
    </row>
    <row r="100" spans="1:10" x14ac:dyDescent="0.2">
      <c r="A100">
        <v>0</v>
      </c>
      <c r="B100">
        <v>3.2889424014024399E-4</v>
      </c>
      <c r="C100">
        <v>2</v>
      </c>
      <c r="D100">
        <v>66</v>
      </c>
      <c r="E100" t="s">
        <v>1138</v>
      </c>
      <c r="F100" t="s">
        <v>1139</v>
      </c>
      <c r="G100">
        <v>8.5714285714285701E-3</v>
      </c>
      <c r="H100" t="s">
        <v>42</v>
      </c>
      <c r="I100" t="s">
        <v>1038</v>
      </c>
      <c r="J100" t="s">
        <v>1650</v>
      </c>
    </row>
    <row r="101" spans="1:10" x14ac:dyDescent="0.2">
      <c r="A101">
        <v>0</v>
      </c>
      <c r="B101">
        <v>1.2884584388834E-5</v>
      </c>
      <c r="C101">
        <v>4</v>
      </c>
      <c r="D101">
        <v>18</v>
      </c>
      <c r="E101" t="s">
        <v>1140</v>
      </c>
      <c r="F101" t="s">
        <v>1141</v>
      </c>
      <c r="G101">
        <v>0</v>
      </c>
      <c r="H101" t="s">
        <v>42</v>
      </c>
      <c r="I101" t="s">
        <v>1038</v>
      </c>
      <c r="J101" t="s">
        <v>1650</v>
      </c>
    </row>
    <row r="102" spans="1:10" x14ac:dyDescent="0.2">
      <c r="A102">
        <v>0</v>
      </c>
      <c r="B102">
        <v>4.1262473917993498E-4</v>
      </c>
      <c r="C102">
        <v>3</v>
      </c>
      <c r="D102">
        <v>26</v>
      </c>
      <c r="E102" t="s">
        <v>1142</v>
      </c>
      <c r="F102" t="s">
        <v>1143</v>
      </c>
      <c r="G102">
        <v>1.1038961038960999E-2</v>
      </c>
      <c r="H102" t="s">
        <v>42</v>
      </c>
      <c r="I102" t="s">
        <v>1038</v>
      </c>
      <c r="J102" t="s">
        <v>1650</v>
      </c>
    </row>
    <row r="103" spans="1:10" x14ac:dyDescent="0.2">
      <c r="A103">
        <v>0</v>
      </c>
      <c r="B103">
        <v>1.25779270328993E-3</v>
      </c>
      <c r="C103">
        <v>3</v>
      </c>
      <c r="D103">
        <v>10</v>
      </c>
      <c r="E103" t="s">
        <v>1144</v>
      </c>
      <c r="F103" t="s">
        <v>1145</v>
      </c>
      <c r="G103">
        <v>1.9387755102040799E-2</v>
      </c>
      <c r="H103" t="s">
        <v>42</v>
      </c>
      <c r="I103" t="s">
        <v>1038</v>
      </c>
      <c r="J103" t="s">
        <v>1650</v>
      </c>
    </row>
    <row r="104" spans="1:10" x14ac:dyDescent="0.2">
      <c r="A104">
        <v>0</v>
      </c>
      <c r="B104">
        <v>1.86805126614664E-4</v>
      </c>
      <c r="C104">
        <v>2</v>
      </c>
      <c r="D104">
        <v>145</v>
      </c>
      <c r="E104" t="s">
        <v>238</v>
      </c>
      <c r="F104" t="s">
        <v>239</v>
      </c>
      <c r="G104">
        <v>5.8333333333333301E-3</v>
      </c>
      <c r="H104" t="s">
        <v>42</v>
      </c>
      <c r="I104" t="s">
        <v>1038</v>
      </c>
      <c r="J104" s="13" t="s">
        <v>1655</v>
      </c>
    </row>
    <row r="105" spans="1:10" x14ac:dyDescent="0.2">
      <c r="A105">
        <v>0</v>
      </c>
      <c r="B105">
        <v>1.8154059105759E-4</v>
      </c>
      <c r="C105">
        <v>2</v>
      </c>
      <c r="D105">
        <v>19</v>
      </c>
      <c r="E105" t="s">
        <v>1146</v>
      </c>
      <c r="F105" t="s">
        <v>1147</v>
      </c>
      <c r="G105">
        <v>5.0847457627118597E-3</v>
      </c>
      <c r="H105" t="s">
        <v>42</v>
      </c>
      <c r="I105" t="s">
        <v>1038</v>
      </c>
      <c r="J105" t="s">
        <v>1650</v>
      </c>
    </row>
    <row r="106" spans="1:10" x14ac:dyDescent="0.2">
      <c r="A106">
        <v>0</v>
      </c>
      <c r="B106">
        <v>1.6664056041720699E-3</v>
      </c>
      <c r="C106">
        <v>4</v>
      </c>
      <c r="D106">
        <v>15</v>
      </c>
      <c r="E106" t="s">
        <v>412</v>
      </c>
      <c r="F106" t="s">
        <v>413</v>
      </c>
      <c r="G106">
        <v>2.5480769230769199E-2</v>
      </c>
      <c r="H106" t="s">
        <v>42</v>
      </c>
      <c r="I106" t="s">
        <v>1038</v>
      </c>
      <c r="J106" t="s">
        <v>1650</v>
      </c>
    </row>
    <row r="107" spans="1:10" x14ac:dyDescent="0.2">
      <c r="A107">
        <v>0</v>
      </c>
      <c r="B107">
        <v>1.0203901778013599E-3</v>
      </c>
      <c r="C107">
        <v>5</v>
      </c>
      <c r="D107">
        <v>6</v>
      </c>
      <c r="E107" t="s">
        <v>1148</v>
      </c>
      <c r="F107" t="s">
        <v>1149</v>
      </c>
      <c r="G107">
        <v>1.8539325842696599E-2</v>
      </c>
      <c r="H107" t="s">
        <v>42</v>
      </c>
      <c r="I107" t="s">
        <v>1038</v>
      </c>
      <c r="J107" t="s">
        <v>1650</v>
      </c>
    </row>
    <row r="108" spans="1:10" x14ac:dyDescent="0.2">
      <c r="A108">
        <v>0</v>
      </c>
      <c r="B108">
        <v>2.3838476714519E-7</v>
      </c>
      <c r="C108">
        <v>3</v>
      </c>
      <c r="D108">
        <v>401</v>
      </c>
      <c r="E108" t="s">
        <v>88</v>
      </c>
      <c r="F108" t="s">
        <v>89</v>
      </c>
      <c r="G108">
        <v>0</v>
      </c>
      <c r="H108" t="s">
        <v>42</v>
      </c>
      <c r="I108" t="s">
        <v>1038</v>
      </c>
      <c r="J108" t="s">
        <v>1650</v>
      </c>
    </row>
    <row r="109" spans="1:10" x14ac:dyDescent="0.2">
      <c r="A109">
        <v>0</v>
      </c>
      <c r="B109">
        <v>3.1341285870590597E-5</v>
      </c>
      <c r="C109">
        <v>2</v>
      </c>
      <c r="D109">
        <v>629</v>
      </c>
      <c r="E109" t="s">
        <v>242</v>
      </c>
      <c r="F109" t="s">
        <v>1150</v>
      </c>
      <c r="G109">
        <v>0</v>
      </c>
      <c r="H109" t="s">
        <v>42</v>
      </c>
      <c r="I109" t="s">
        <v>1038</v>
      </c>
      <c r="J109" t="s">
        <v>1650</v>
      </c>
    </row>
    <row r="110" spans="1:10" x14ac:dyDescent="0.2">
      <c r="A110">
        <v>0</v>
      </c>
      <c r="B110">
        <v>2.5067219765835601E-3</v>
      </c>
      <c r="C110">
        <v>2</v>
      </c>
      <c r="D110">
        <v>108</v>
      </c>
      <c r="E110" t="s">
        <v>244</v>
      </c>
      <c r="F110" t="s">
        <v>245</v>
      </c>
      <c r="G110">
        <v>3.9823008849557501E-2</v>
      </c>
      <c r="H110" t="s">
        <v>42</v>
      </c>
      <c r="I110" t="s">
        <v>1038</v>
      </c>
      <c r="J110" s="13" t="s">
        <v>1655</v>
      </c>
    </row>
    <row r="111" spans="1:10" x14ac:dyDescent="0.2">
      <c r="A111">
        <v>0</v>
      </c>
      <c r="B111">
        <v>1.0591299382768401E-4</v>
      </c>
      <c r="C111">
        <v>6</v>
      </c>
      <c r="D111">
        <v>10</v>
      </c>
      <c r="E111" t="s">
        <v>331</v>
      </c>
      <c r="F111" t="s">
        <v>332</v>
      </c>
      <c r="G111">
        <v>1.9230769230769199E-3</v>
      </c>
      <c r="H111" t="s">
        <v>42</v>
      </c>
      <c r="I111" t="s">
        <v>1038</v>
      </c>
      <c r="J111" t="s">
        <v>1650</v>
      </c>
    </row>
    <row r="112" spans="1:10" x14ac:dyDescent="0.2">
      <c r="A112">
        <v>0</v>
      </c>
      <c r="B112">
        <v>1.25779270328993E-3</v>
      </c>
      <c r="C112">
        <v>2</v>
      </c>
      <c r="D112">
        <v>10</v>
      </c>
      <c r="E112" t="s">
        <v>1151</v>
      </c>
      <c r="F112" t="s">
        <v>1152</v>
      </c>
      <c r="G112">
        <v>1.9387755102040799E-2</v>
      </c>
      <c r="H112" t="s">
        <v>42</v>
      </c>
      <c r="I112" t="s">
        <v>1038</v>
      </c>
      <c r="J112" t="s">
        <v>1650</v>
      </c>
    </row>
    <row r="113" spans="1:10" x14ac:dyDescent="0.2">
      <c r="A113">
        <v>0</v>
      </c>
      <c r="B113">
        <v>6.9253281505336295E-4</v>
      </c>
      <c r="C113">
        <v>3</v>
      </c>
      <c r="D113">
        <v>134</v>
      </c>
      <c r="E113" t="s">
        <v>427</v>
      </c>
      <c r="F113" t="s">
        <v>428</v>
      </c>
      <c r="G113">
        <v>1.2790697674418599E-2</v>
      </c>
      <c r="H113" t="s">
        <v>42</v>
      </c>
      <c r="I113" t="s">
        <v>1038</v>
      </c>
      <c r="J113" t="s">
        <v>1650</v>
      </c>
    </row>
    <row r="114" spans="1:10" x14ac:dyDescent="0.2">
      <c r="A114">
        <v>0</v>
      </c>
      <c r="B114">
        <v>1.0382051433779601E-3</v>
      </c>
      <c r="C114">
        <v>6</v>
      </c>
      <c r="D114">
        <v>53</v>
      </c>
      <c r="E114" t="s">
        <v>1153</v>
      </c>
      <c r="F114" t="s">
        <v>1154</v>
      </c>
      <c r="G114">
        <v>1.8888888888888899E-2</v>
      </c>
      <c r="H114" t="s">
        <v>42</v>
      </c>
      <c r="I114" t="s">
        <v>1038</v>
      </c>
      <c r="J114" t="s">
        <v>1650</v>
      </c>
    </row>
    <row r="115" spans="1:10" x14ac:dyDescent="0.2">
      <c r="A115">
        <v>0</v>
      </c>
      <c r="B115">
        <v>8.7393975423097201E-5</v>
      </c>
      <c r="C115">
        <v>2</v>
      </c>
      <c r="D115">
        <v>78</v>
      </c>
      <c r="E115" t="s">
        <v>264</v>
      </c>
      <c r="F115" t="s">
        <v>265</v>
      </c>
      <c r="G115">
        <v>2E-3</v>
      </c>
      <c r="H115" t="s">
        <v>42</v>
      </c>
      <c r="I115" t="s">
        <v>1038</v>
      </c>
      <c r="J115" t="s">
        <v>1650</v>
      </c>
    </row>
    <row r="116" spans="1:10" x14ac:dyDescent="0.2">
      <c r="A116">
        <v>0</v>
      </c>
      <c r="B116">
        <v>3.1784108889924098E-8</v>
      </c>
      <c r="C116">
        <v>2</v>
      </c>
      <c r="D116">
        <v>169</v>
      </c>
      <c r="E116" t="s">
        <v>266</v>
      </c>
      <c r="F116" t="s">
        <v>267</v>
      </c>
      <c r="G116">
        <v>0</v>
      </c>
      <c r="H116" t="s">
        <v>42</v>
      </c>
      <c r="I116" t="s">
        <v>1038</v>
      </c>
      <c r="J116" t="s">
        <v>1650</v>
      </c>
    </row>
    <row r="117" spans="1:10" x14ac:dyDescent="0.2">
      <c r="A117">
        <v>0</v>
      </c>
      <c r="B117">
        <v>2.8836017955245902E-3</v>
      </c>
      <c r="C117">
        <v>2</v>
      </c>
      <c r="D117">
        <v>305</v>
      </c>
      <c r="E117" t="s">
        <v>809</v>
      </c>
      <c r="F117" t="s">
        <v>810</v>
      </c>
      <c r="G117">
        <v>4.14529914529915E-2</v>
      </c>
      <c r="H117" t="s">
        <v>42</v>
      </c>
      <c r="I117" t="s">
        <v>1038</v>
      </c>
      <c r="J117" s="13" t="s">
        <v>1655</v>
      </c>
    </row>
    <row r="118" spans="1:10" x14ac:dyDescent="0.2">
      <c r="A118">
        <v>0</v>
      </c>
      <c r="B118">
        <v>1.48568863066945E-3</v>
      </c>
      <c r="C118">
        <v>2</v>
      </c>
      <c r="D118">
        <v>851</v>
      </c>
      <c r="E118" t="s">
        <v>272</v>
      </c>
      <c r="F118" t="s">
        <v>273</v>
      </c>
      <c r="G118">
        <v>2.3232323232323202E-2</v>
      </c>
      <c r="H118" t="s">
        <v>42</v>
      </c>
      <c r="I118" t="s">
        <v>1038</v>
      </c>
      <c r="J118" t="s">
        <v>1650</v>
      </c>
    </row>
    <row r="119" spans="1:10" x14ac:dyDescent="0.2">
      <c r="A119">
        <v>0</v>
      </c>
      <c r="B119">
        <v>1.39262102018413E-4</v>
      </c>
      <c r="C119">
        <v>2</v>
      </c>
      <c r="D119">
        <v>637</v>
      </c>
      <c r="E119" t="s">
        <v>280</v>
      </c>
      <c r="F119" t="s">
        <v>281</v>
      </c>
      <c r="G119">
        <v>2.8301886792452798E-3</v>
      </c>
      <c r="H119" t="s">
        <v>42</v>
      </c>
      <c r="I119" t="s">
        <v>1038</v>
      </c>
      <c r="J119" t="s">
        <v>1650</v>
      </c>
    </row>
    <row r="120" spans="1:10" x14ac:dyDescent="0.2">
      <c r="A120">
        <v>0</v>
      </c>
      <c r="B120">
        <v>2.2031325697769301E-3</v>
      </c>
      <c r="C120">
        <v>2</v>
      </c>
      <c r="D120">
        <v>38</v>
      </c>
      <c r="E120" t="s">
        <v>1155</v>
      </c>
      <c r="F120" t="s">
        <v>1156</v>
      </c>
      <c r="G120">
        <v>3.5909090909090897E-2</v>
      </c>
      <c r="H120" t="s">
        <v>42</v>
      </c>
      <c r="I120" t="s">
        <v>1038</v>
      </c>
      <c r="J120" t="s">
        <v>1650</v>
      </c>
    </row>
    <row r="121" spans="1:10" x14ac:dyDescent="0.2">
      <c r="A121">
        <v>0</v>
      </c>
      <c r="B121">
        <v>1.25134097245563E-3</v>
      </c>
      <c r="C121">
        <v>2</v>
      </c>
      <c r="D121">
        <v>54</v>
      </c>
      <c r="E121" t="s">
        <v>100</v>
      </c>
      <c r="F121" t="s">
        <v>101</v>
      </c>
      <c r="G121">
        <v>0.02</v>
      </c>
      <c r="H121" t="s">
        <v>42</v>
      </c>
      <c r="I121" t="s">
        <v>1038</v>
      </c>
      <c r="J121" t="s">
        <v>1650</v>
      </c>
    </row>
    <row r="122" spans="1:10" x14ac:dyDescent="0.2">
      <c r="A122">
        <v>0</v>
      </c>
      <c r="B122">
        <v>2.8771022411593999E-4</v>
      </c>
      <c r="C122">
        <v>4</v>
      </c>
      <c r="D122">
        <v>59</v>
      </c>
      <c r="E122" t="s">
        <v>1157</v>
      </c>
      <c r="F122" t="s">
        <v>1158</v>
      </c>
      <c r="G122">
        <v>7.4626865671641798E-3</v>
      </c>
      <c r="H122" t="s">
        <v>42</v>
      </c>
      <c r="I122" t="s">
        <v>1038</v>
      </c>
      <c r="J122" t="s">
        <v>1650</v>
      </c>
    </row>
    <row r="123" spans="1:10" x14ac:dyDescent="0.2">
      <c r="A123">
        <v>0</v>
      </c>
      <c r="B123">
        <v>3.47356285136368E-3</v>
      </c>
      <c r="C123">
        <v>3</v>
      </c>
      <c r="D123">
        <v>34</v>
      </c>
      <c r="E123" t="s">
        <v>1159</v>
      </c>
      <c r="F123" t="s">
        <v>1160</v>
      </c>
      <c r="G123">
        <v>4.6800000000000001E-2</v>
      </c>
      <c r="H123" t="s">
        <v>42</v>
      </c>
      <c r="I123" t="s">
        <v>1038</v>
      </c>
      <c r="J123" t="s">
        <v>1650</v>
      </c>
    </row>
    <row r="124" spans="1:10" x14ac:dyDescent="0.2">
      <c r="A124">
        <v>0</v>
      </c>
      <c r="B124">
        <v>2.2026835281776301E-3</v>
      </c>
      <c r="C124">
        <v>2</v>
      </c>
      <c r="D124">
        <v>7</v>
      </c>
      <c r="E124" t="s">
        <v>1161</v>
      </c>
      <c r="F124" t="s">
        <v>1162</v>
      </c>
      <c r="G124">
        <v>3.6238532110091697E-2</v>
      </c>
      <c r="H124" t="s">
        <v>42</v>
      </c>
      <c r="I124" t="s">
        <v>1038</v>
      </c>
      <c r="J124" t="s">
        <v>1650</v>
      </c>
    </row>
    <row r="125" spans="1:10" x14ac:dyDescent="0.2">
      <c r="A125">
        <v>0</v>
      </c>
      <c r="B125">
        <v>9.2850224620667505E-5</v>
      </c>
      <c r="C125">
        <v>5</v>
      </c>
      <c r="D125">
        <v>72</v>
      </c>
      <c r="E125" t="s">
        <v>1163</v>
      </c>
      <c r="F125" t="s">
        <v>1164</v>
      </c>
      <c r="G125">
        <v>1.9607843137254902E-3</v>
      </c>
      <c r="H125" t="s">
        <v>42</v>
      </c>
      <c r="I125" t="s">
        <v>1038</v>
      </c>
      <c r="J125" t="s">
        <v>1650</v>
      </c>
    </row>
    <row r="126" spans="1:10" x14ac:dyDescent="0.2">
      <c r="A126">
        <v>0</v>
      </c>
      <c r="B126">
        <v>2.2026835281776301E-3</v>
      </c>
      <c r="C126">
        <v>3</v>
      </c>
      <c r="D126">
        <v>7</v>
      </c>
      <c r="E126" t="s">
        <v>1165</v>
      </c>
      <c r="F126" t="s">
        <v>1166</v>
      </c>
      <c r="G126">
        <v>3.6238532110091697E-2</v>
      </c>
      <c r="H126" t="s">
        <v>42</v>
      </c>
      <c r="I126" t="s">
        <v>1038</v>
      </c>
      <c r="J126" t="s">
        <v>1650</v>
      </c>
    </row>
    <row r="127" spans="1:10" x14ac:dyDescent="0.2">
      <c r="A127">
        <v>0</v>
      </c>
      <c r="B127">
        <v>2.5454356914214801E-5</v>
      </c>
      <c r="C127">
        <v>2</v>
      </c>
      <c r="D127">
        <v>38</v>
      </c>
      <c r="E127" t="s">
        <v>1167</v>
      </c>
      <c r="F127" t="s">
        <v>1168</v>
      </c>
      <c r="G127">
        <v>0</v>
      </c>
      <c r="H127" t="s">
        <v>42</v>
      </c>
      <c r="I127" t="s">
        <v>1038</v>
      </c>
      <c r="J127" t="s">
        <v>1650</v>
      </c>
    </row>
    <row r="128" spans="1:10" x14ac:dyDescent="0.2">
      <c r="A128">
        <v>0</v>
      </c>
      <c r="B128">
        <v>1.6664056041720699E-3</v>
      </c>
      <c r="C128">
        <v>3</v>
      </c>
      <c r="D128">
        <v>15</v>
      </c>
      <c r="E128" t="s">
        <v>1169</v>
      </c>
      <c r="F128" t="s">
        <v>1170</v>
      </c>
      <c r="G128">
        <v>2.5480769230769199E-2</v>
      </c>
      <c r="H128" t="s">
        <v>42</v>
      </c>
      <c r="I128" t="s">
        <v>1038</v>
      </c>
      <c r="J128" t="s">
        <v>1650</v>
      </c>
    </row>
    <row r="129" spans="1:10" x14ac:dyDescent="0.2">
      <c r="A129">
        <v>0</v>
      </c>
      <c r="B129">
        <v>3.6775208829375002E-4</v>
      </c>
      <c r="C129">
        <v>7</v>
      </c>
      <c r="D129">
        <v>5</v>
      </c>
      <c r="E129" t="s">
        <v>1171</v>
      </c>
      <c r="F129" t="s">
        <v>1172</v>
      </c>
      <c r="G129">
        <v>8.6666666666666697E-3</v>
      </c>
      <c r="H129" t="s">
        <v>42</v>
      </c>
      <c r="I129" t="s">
        <v>1038</v>
      </c>
      <c r="J129" t="s">
        <v>1650</v>
      </c>
    </row>
    <row r="130" spans="1:10" x14ac:dyDescent="0.2">
      <c r="A130">
        <v>0</v>
      </c>
      <c r="B130">
        <v>6.6662631739830298E-4</v>
      </c>
      <c r="C130">
        <v>6</v>
      </c>
      <c r="D130">
        <v>33</v>
      </c>
      <c r="E130" t="s">
        <v>1173</v>
      </c>
      <c r="F130" t="s">
        <v>1174</v>
      </c>
      <c r="G130">
        <v>1.2500000000000001E-2</v>
      </c>
      <c r="H130" t="s">
        <v>42</v>
      </c>
      <c r="I130" t="s">
        <v>1038</v>
      </c>
      <c r="J130" t="s">
        <v>1650</v>
      </c>
    </row>
    <row r="131" spans="1:10" x14ac:dyDescent="0.2">
      <c r="A131">
        <v>0</v>
      </c>
      <c r="B131">
        <v>8.4471515668511498E-4</v>
      </c>
      <c r="C131">
        <v>3</v>
      </c>
      <c r="D131">
        <v>174</v>
      </c>
      <c r="E131" t="s">
        <v>1175</v>
      </c>
      <c r="F131" t="s">
        <v>297</v>
      </c>
      <c r="G131">
        <v>1.5340909090909099E-2</v>
      </c>
      <c r="H131" t="s">
        <v>42</v>
      </c>
      <c r="I131" t="s">
        <v>1038</v>
      </c>
      <c r="J131" s="13" t="s">
        <v>1655</v>
      </c>
    </row>
    <row r="132" spans="1:10" x14ac:dyDescent="0.2">
      <c r="A132">
        <v>0</v>
      </c>
      <c r="B132">
        <v>3.94871068541318E-4</v>
      </c>
      <c r="C132">
        <v>3</v>
      </c>
      <c r="D132">
        <v>67</v>
      </c>
      <c r="E132" t="s">
        <v>300</v>
      </c>
      <c r="F132" t="s">
        <v>301</v>
      </c>
      <c r="G132">
        <v>1.05263157894737E-2</v>
      </c>
      <c r="H132" t="s">
        <v>42</v>
      </c>
      <c r="I132" t="s">
        <v>1038</v>
      </c>
      <c r="J132" s="13" t="s">
        <v>1655</v>
      </c>
    </row>
    <row r="133" spans="1:10" x14ac:dyDescent="0.2">
      <c r="A133">
        <v>0</v>
      </c>
      <c r="B133">
        <v>7.4931171836409698E-6</v>
      </c>
      <c r="C133">
        <v>3</v>
      </c>
      <c r="D133">
        <v>5</v>
      </c>
      <c r="E133" t="s">
        <v>1176</v>
      </c>
      <c r="F133" t="s">
        <v>1177</v>
      </c>
      <c r="G133">
        <v>0</v>
      </c>
      <c r="H133" t="s">
        <v>42</v>
      </c>
      <c r="I133" t="s">
        <v>1038</v>
      </c>
      <c r="J133" t="s">
        <v>1650</v>
      </c>
    </row>
    <row r="134" spans="1:10" x14ac:dyDescent="0.2">
      <c r="A134">
        <v>0</v>
      </c>
      <c r="B134">
        <v>4.2517689979873197E-5</v>
      </c>
      <c r="C134">
        <v>3</v>
      </c>
      <c r="D134">
        <v>299</v>
      </c>
      <c r="E134" t="s">
        <v>302</v>
      </c>
      <c r="F134" t="s">
        <v>303</v>
      </c>
      <c r="G134">
        <v>1.11111111111111E-3</v>
      </c>
      <c r="H134" t="s">
        <v>42</v>
      </c>
      <c r="I134" t="s">
        <v>1038</v>
      </c>
      <c r="J134" s="13" t="s">
        <v>1655</v>
      </c>
    </row>
    <row r="135" spans="1:10" x14ac:dyDescent="0.2">
      <c r="A135">
        <v>0</v>
      </c>
      <c r="B135">
        <v>2.0497898119888999E-4</v>
      </c>
      <c r="C135">
        <v>4</v>
      </c>
      <c r="D135">
        <v>110</v>
      </c>
      <c r="E135" t="s">
        <v>304</v>
      </c>
      <c r="F135" t="s">
        <v>305</v>
      </c>
      <c r="G135">
        <v>5.7377049180327901E-3</v>
      </c>
      <c r="H135" t="s">
        <v>42</v>
      </c>
      <c r="I135" t="s">
        <v>1038</v>
      </c>
      <c r="J135" t="s">
        <v>1650</v>
      </c>
    </row>
    <row r="136" spans="1:10" x14ac:dyDescent="0.2">
      <c r="A136">
        <v>0</v>
      </c>
      <c r="B136">
        <v>1.1105741402929201E-3</v>
      </c>
      <c r="C136">
        <v>2</v>
      </c>
      <c r="D136">
        <v>35</v>
      </c>
      <c r="E136" t="s">
        <v>102</v>
      </c>
      <c r="F136" t="s">
        <v>103</v>
      </c>
      <c r="G136">
        <v>1.9354838709677399E-2</v>
      </c>
      <c r="H136" t="s">
        <v>42</v>
      </c>
      <c r="I136" t="s">
        <v>1038</v>
      </c>
      <c r="J136" t="s">
        <v>1650</v>
      </c>
    </row>
    <row r="137" spans="1:10" x14ac:dyDescent="0.2">
      <c r="A137">
        <v>0</v>
      </c>
      <c r="B137">
        <v>2.7831924239994201E-3</v>
      </c>
      <c r="C137">
        <v>2</v>
      </c>
      <c r="D137">
        <v>33</v>
      </c>
      <c r="E137" t="s">
        <v>1178</v>
      </c>
      <c r="F137" t="s">
        <v>1179</v>
      </c>
      <c r="G137">
        <v>4.0869565217391303E-2</v>
      </c>
      <c r="H137" t="s">
        <v>42</v>
      </c>
      <c r="I137" t="s">
        <v>1038</v>
      </c>
      <c r="J137" t="s">
        <v>1650</v>
      </c>
    </row>
    <row r="138" spans="1:10" x14ac:dyDescent="0.2">
      <c r="A138">
        <v>0</v>
      </c>
      <c r="B138">
        <v>1.86301862089174E-6</v>
      </c>
      <c r="C138">
        <v>2</v>
      </c>
      <c r="D138">
        <v>268</v>
      </c>
      <c r="E138" t="s">
        <v>104</v>
      </c>
      <c r="F138" t="s">
        <v>105</v>
      </c>
      <c r="G138">
        <v>0</v>
      </c>
      <c r="H138" t="s">
        <v>42</v>
      </c>
      <c r="I138" t="s">
        <v>1038</v>
      </c>
      <c r="J138" t="s">
        <v>1650</v>
      </c>
    </row>
    <row r="139" spans="1:10" x14ac:dyDescent="0.2">
      <c r="A139">
        <v>0</v>
      </c>
      <c r="B139">
        <v>8.3865546535790905E-5</v>
      </c>
      <c r="C139">
        <v>3</v>
      </c>
      <c r="D139">
        <v>42</v>
      </c>
      <c r="E139" t="s">
        <v>1180</v>
      </c>
      <c r="F139" t="s">
        <v>1181</v>
      </c>
      <c r="G139">
        <v>2.0408163265306098E-3</v>
      </c>
      <c r="H139" t="s">
        <v>42</v>
      </c>
      <c r="I139" t="s">
        <v>1038</v>
      </c>
      <c r="J139" t="s">
        <v>1650</v>
      </c>
    </row>
    <row r="140" spans="1:10" x14ac:dyDescent="0.2">
      <c r="A140">
        <v>0</v>
      </c>
      <c r="B140">
        <v>2.7976744913481702E-6</v>
      </c>
      <c r="C140">
        <v>3</v>
      </c>
      <c r="D140">
        <v>32</v>
      </c>
      <c r="E140" t="s">
        <v>1182</v>
      </c>
      <c r="F140" t="s">
        <v>1183</v>
      </c>
      <c r="G140">
        <v>0</v>
      </c>
      <c r="H140" t="s">
        <v>42</v>
      </c>
      <c r="I140" t="s">
        <v>1038</v>
      </c>
      <c r="J140" t="s">
        <v>1650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73B3B-C94E-7042-BA56-5AEDE3D9BDED}">
  <sheetPr codeName="Sheet6"/>
  <dimension ref="A1:J134"/>
  <sheetViews>
    <sheetView topLeftCell="A122" zoomScale="165" workbookViewId="0">
      <selection activeCell="J135" sqref="J135"/>
    </sheetView>
  </sheetViews>
  <sheetFormatPr baseColWidth="10" defaultRowHeight="16" x14ac:dyDescent="0.2"/>
  <cols>
    <col min="5" max="5" width="10.83203125" customWidth="1"/>
  </cols>
  <sheetData>
    <row r="1" spans="1:10" x14ac:dyDescent="0.2">
      <c r="A1" t="s">
        <v>526</v>
      </c>
    </row>
    <row r="2" spans="1:10" x14ac:dyDescent="0.2">
      <c r="A2" t="s">
        <v>45</v>
      </c>
    </row>
    <row r="3" spans="1:10" x14ac:dyDescent="0.2">
      <c r="A3" t="s">
        <v>46</v>
      </c>
    </row>
    <row r="4" spans="1:10" x14ac:dyDescent="0.2">
      <c r="A4" t="s">
        <v>47</v>
      </c>
    </row>
    <row r="5" spans="1:10" x14ac:dyDescent="0.2">
      <c r="A5" t="s">
        <v>48</v>
      </c>
    </row>
    <row r="6" spans="1:10" x14ac:dyDescent="0.2">
      <c r="A6" t="s">
        <v>49</v>
      </c>
    </row>
    <row r="7" spans="1:10" x14ac:dyDescent="0.2">
      <c r="A7" t="s">
        <v>44</v>
      </c>
    </row>
    <row r="8" spans="1:10" x14ac:dyDescent="0.2">
      <c r="A8" t="s">
        <v>43</v>
      </c>
    </row>
    <row r="9" spans="1:10" x14ac:dyDescent="0.2">
      <c r="A9" t="s">
        <v>52</v>
      </c>
    </row>
    <row r="10" spans="1:10" ht="17" thickBot="1" x14ac:dyDescent="0.25">
      <c r="A10" t="s">
        <v>1661</v>
      </c>
    </row>
    <row r="11" spans="1:10" ht="17" thickBot="1" x14ac:dyDescent="0.25">
      <c r="A11" s="2" t="s">
        <v>0</v>
      </c>
      <c r="B11" s="2" t="s">
        <v>1</v>
      </c>
      <c r="C11" s="2" t="s">
        <v>2</v>
      </c>
      <c r="D11" s="2" t="s">
        <v>3</v>
      </c>
      <c r="E11" s="2" t="s">
        <v>4</v>
      </c>
      <c r="F11" s="2" t="s">
        <v>5</v>
      </c>
      <c r="G11" s="2" t="s">
        <v>6</v>
      </c>
      <c r="H11" s="2" t="s">
        <v>41</v>
      </c>
      <c r="I11" s="2" t="s">
        <v>50</v>
      </c>
      <c r="J11" s="11" t="s">
        <v>1647</v>
      </c>
    </row>
    <row r="12" spans="1:10" x14ac:dyDescent="0.2">
      <c r="A12">
        <v>0</v>
      </c>
      <c r="B12">
        <v>6.1848569252142597E-5</v>
      </c>
      <c r="C12">
        <v>2</v>
      </c>
      <c r="D12">
        <v>426</v>
      </c>
      <c r="E12" t="s">
        <v>108</v>
      </c>
      <c r="F12" t="s">
        <v>109</v>
      </c>
      <c r="G12">
        <v>6.88205897860205E-3</v>
      </c>
      <c r="H12" t="s">
        <v>42</v>
      </c>
      <c r="I12" t="s">
        <v>51</v>
      </c>
      <c r="J12" t="s">
        <v>1650</v>
      </c>
    </row>
    <row r="13" spans="1:10" x14ac:dyDescent="0.2">
      <c r="A13">
        <v>0</v>
      </c>
      <c r="B13" s="1">
        <v>7.6304285861528501E-4</v>
      </c>
      <c r="C13">
        <v>8</v>
      </c>
      <c r="D13">
        <v>130</v>
      </c>
      <c r="E13" t="s">
        <v>112</v>
      </c>
      <c r="F13" t="s">
        <v>113</v>
      </c>
      <c r="G13">
        <v>3.9743168465749303E-2</v>
      </c>
      <c r="H13" t="s">
        <v>42</v>
      </c>
      <c r="I13" t="s">
        <v>51</v>
      </c>
      <c r="J13" t="s">
        <v>1650</v>
      </c>
    </row>
    <row r="14" spans="1:10" x14ac:dyDescent="0.2">
      <c r="A14">
        <v>0</v>
      </c>
      <c r="B14" s="1">
        <v>5.6565695917467295E-4</v>
      </c>
      <c r="C14">
        <v>2</v>
      </c>
      <c r="D14">
        <v>324</v>
      </c>
      <c r="E14" t="s">
        <v>527</v>
      </c>
      <c r="F14" t="s">
        <v>528</v>
      </c>
      <c r="G14">
        <v>3.2969719906180903E-2</v>
      </c>
      <c r="H14" t="s">
        <v>42</v>
      </c>
      <c r="I14" t="s">
        <v>51</v>
      </c>
      <c r="J14" t="s">
        <v>1650</v>
      </c>
    </row>
    <row r="15" spans="1:10" x14ac:dyDescent="0.2">
      <c r="A15">
        <v>0</v>
      </c>
      <c r="B15" s="1">
        <v>5.8314907815635903E-4</v>
      </c>
      <c r="C15">
        <v>2</v>
      </c>
      <c r="D15">
        <v>121</v>
      </c>
      <c r="E15" t="s">
        <v>529</v>
      </c>
      <c r="F15" t="s">
        <v>530</v>
      </c>
      <c r="G15">
        <v>3.3198812635506197E-2</v>
      </c>
      <c r="H15" t="s">
        <v>42</v>
      </c>
      <c r="I15" t="s">
        <v>51</v>
      </c>
      <c r="J15" t="s">
        <v>1650</v>
      </c>
    </row>
    <row r="16" spans="1:10" x14ac:dyDescent="0.2">
      <c r="A16">
        <v>0</v>
      </c>
      <c r="B16" s="1">
        <v>4.37771064013997E-4</v>
      </c>
      <c r="C16">
        <v>2</v>
      </c>
      <c r="D16">
        <v>432</v>
      </c>
      <c r="E16" t="s">
        <v>114</v>
      </c>
      <c r="F16" t="s">
        <v>115</v>
      </c>
      <c r="G16">
        <v>2.7835417265097799E-2</v>
      </c>
      <c r="H16" t="s">
        <v>42</v>
      </c>
      <c r="I16" t="s">
        <v>51</v>
      </c>
      <c r="J16" t="s">
        <v>1657</v>
      </c>
    </row>
    <row r="17" spans="1:10" x14ac:dyDescent="0.2">
      <c r="A17">
        <v>0</v>
      </c>
      <c r="B17" s="1">
        <v>7.85975849132259E-6</v>
      </c>
      <c r="C17">
        <v>4</v>
      </c>
      <c r="D17">
        <v>1562</v>
      </c>
      <c r="E17" t="s">
        <v>531</v>
      </c>
      <c r="F17" t="s">
        <v>350</v>
      </c>
      <c r="G17">
        <v>1.67310337276154E-3</v>
      </c>
      <c r="H17" t="s">
        <v>42</v>
      </c>
      <c r="I17" t="s">
        <v>51</v>
      </c>
      <c r="J17" t="s">
        <v>1650</v>
      </c>
    </row>
    <row r="18" spans="1:10" x14ac:dyDescent="0.2">
      <c r="A18">
        <v>0</v>
      </c>
      <c r="B18" s="1">
        <v>1.31868433382824E-4</v>
      </c>
      <c r="C18">
        <v>4</v>
      </c>
      <c r="D18">
        <v>82</v>
      </c>
      <c r="E18" t="s">
        <v>532</v>
      </c>
      <c r="F18" t="s">
        <v>533</v>
      </c>
      <c r="G18">
        <v>1.1738688178951E-2</v>
      </c>
      <c r="H18" t="s">
        <v>42</v>
      </c>
      <c r="I18" t="s">
        <v>51</v>
      </c>
      <c r="J18" t="s">
        <v>1650</v>
      </c>
    </row>
    <row r="19" spans="1:10" x14ac:dyDescent="0.2">
      <c r="A19">
        <v>0</v>
      </c>
      <c r="B19" s="1">
        <v>5.7536686013343299E-5</v>
      </c>
      <c r="C19">
        <v>2</v>
      </c>
      <c r="D19">
        <v>24</v>
      </c>
      <c r="E19" t="s">
        <v>534</v>
      </c>
      <c r="F19" t="s">
        <v>535</v>
      </c>
      <c r="G19">
        <v>6.87072231027631E-3</v>
      </c>
      <c r="H19" t="s">
        <v>42</v>
      </c>
      <c r="I19" t="s">
        <v>51</v>
      </c>
      <c r="J19" t="s">
        <v>1650</v>
      </c>
    </row>
    <row r="20" spans="1:10" x14ac:dyDescent="0.2">
      <c r="A20">
        <v>0</v>
      </c>
      <c r="B20" s="1">
        <v>9.8590732374566705E-4</v>
      </c>
      <c r="C20">
        <v>2</v>
      </c>
      <c r="D20">
        <v>62</v>
      </c>
      <c r="E20" t="s">
        <v>536</v>
      </c>
      <c r="F20" t="s">
        <v>537</v>
      </c>
      <c r="G20">
        <v>4.7792101555037499E-2</v>
      </c>
      <c r="H20" t="s">
        <v>42</v>
      </c>
      <c r="I20" t="s">
        <v>51</v>
      </c>
      <c r="J20" t="s">
        <v>1650</v>
      </c>
    </row>
    <row r="21" spans="1:10" x14ac:dyDescent="0.2">
      <c r="A21">
        <v>0</v>
      </c>
      <c r="B21">
        <v>4.5054882352719001E-4</v>
      </c>
      <c r="C21">
        <v>3</v>
      </c>
      <c r="D21">
        <v>113</v>
      </c>
      <c r="E21" t="s">
        <v>538</v>
      </c>
      <c r="F21" t="s">
        <v>539</v>
      </c>
      <c r="G21">
        <v>2.8280603076783602E-2</v>
      </c>
      <c r="H21" t="s">
        <v>42</v>
      </c>
      <c r="I21" t="s">
        <v>51</v>
      </c>
      <c r="J21" t="s">
        <v>1657</v>
      </c>
    </row>
    <row r="22" spans="1:10" x14ac:dyDescent="0.2">
      <c r="A22">
        <v>0</v>
      </c>
      <c r="B22">
        <v>3.3593107767285299E-4</v>
      </c>
      <c r="C22">
        <v>2</v>
      </c>
      <c r="D22">
        <v>43</v>
      </c>
      <c r="E22" t="s">
        <v>54</v>
      </c>
      <c r="F22" t="s">
        <v>55</v>
      </c>
      <c r="G22">
        <v>2.40614011159812E-2</v>
      </c>
      <c r="H22" t="s">
        <v>42</v>
      </c>
      <c r="I22" t="s">
        <v>51</v>
      </c>
      <c r="J22" t="s">
        <v>1657</v>
      </c>
    </row>
    <row r="23" spans="1:10" x14ac:dyDescent="0.2">
      <c r="A23">
        <v>0</v>
      </c>
      <c r="B23" s="1">
        <v>1.44224253574351E-4</v>
      </c>
      <c r="C23">
        <v>5</v>
      </c>
      <c r="D23">
        <v>6</v>
      </c>
      <c r="E23" t="s">
        <v>540</v>
      </c>
      <c r="F23" t="s">
        <v>541</v>
      </c>
      <c r="G23">
        <v>1.2174516301724499E-2</v>
      </c>
      <c r="H23" t="s">
        <v>42</v>
      </c>
      <c r="I23" t="s">
        <v>51</v>
      </c>
      <c r="J23" t="s">
        <v>1650</v>
      </c>
    </row>
    <row r="24" spans="1:10" x14ac:dyDescent="0.2">
      <c r="A24">
        <v>0</v>
      </c>
      <c r="B24" s="1">
        <v>3.38936419961795E-5</v>
      </c>
      <c r="C24">
        <v>2</v>
      </c>
      <c r="D24">
        <v>58</v>
      </c>
      <c r="E24" t="s">
        <v>542</v>
      </c>
      <c r="F24" t="s">
        <v>543</v>
      </c>
      <c r="G24">
        <v>4.4849532760350003E-3</v>
      </c>
      <c r="H24" t="s">
        <v>42</v>
      </c>
      <c r="I24" t="s">
        <v>51</v>
      </c>
      <c r="J24" t="s">
        <v>1650</v>
      </c>
    </row>
    <row r="25" spans="1:10" x14ac:dyDescent="0.2">
      <c r="A25">
        <v>0</v>
      </c>
      <c r="B25" s="1">
        <v>6.5888559808917997E-4</v>
      </c>
      <c r="C25">
        <v>4</v>
      </c>
      <c r="D25">
        <v>125</v>
      </c>
      <c r="E25" t="s">
        <v>544</v>
      </c>
      <c r="F25" t="s">
        <v>545</v>
      </c>
      <c r="G25">
        <v>3.62461111038722E-2</v>
      </c>
      <c r="H25" t="s">
        <v>42</v>
      </c>
      <c r="I25" t="s">
        <v>51</v>
      </c>
      <c r="J25" t="s">
        <v>1650</v>
      </c>
    </row>
    <row r="26" spans="1:10" x14ac:dyDescent="0.2">
      <c r="A26">
        <v>0</v>
      </c>
      <c r="B26" s="1">
        <v>2.27089635358833E-5</v>
      </c>
      <c r="C26">
        <v>5</v>
      </c>
      <c r="D26">
        <v>107</v>
      </c>
      <c r="E26" t="s">
        <v>546</v>
      </c>
      <c r="F26" t="s">
        <v>547</v>
      </c>
      <c r="G26">
        <v>3.4744714209901401E-3</v>
      </c>
      <c r="H26" t="s">
        <v>42</v>
      </c>
      <c r="I26" t="s">
        <v>51</v>
      </c>
      <c r="J26" t="s">
        <v>1650</v>
      </c>
    </row>
    <row r="27" spans="1:10" x14ac:dyDescent="0.2">
      <c r="A27">
        <v>0</v>
      </c>
      <c r="B27" s="1">
        <v>1.2441239799353601E-4</v>
      </c>
      <c r="C27">
        <v>3</v>
      </c>
      <c r="D27">
        <v>244</v>
      </c>
      <c r="E27" t="s">
        <v>548</v>
      </c>
      <c r="F27" t="s">
        <v>549</v>
      </c>
      <c r="G27">
        <v>1.14016305427556E-2</v>
      </c>
      <c r="H27" t="s">
        <v>42</v>
      </c>
      <c r="I27" t="s">
        <v>51</v>
      </c>
      <c r="J27" t="s">
        <v>1650</v>
      </c>
    </row>
    <row r="28" spans="1:10" x14ac:dyDescent="0.2">
      <c r="A28">
        <v>0</v>
      </c>
      <c r="B28" s="1">
        <v>8.0800812972752095E-8</v>
      </c>
      <c r="C28">
        <v>1</v>
      </c>
      <c r="D28">
        <v>1257</v>
      </c>
      <c r="E28" t="s">
        <v>56</v>
      </c>
      <c r="F28" t="s">
        <v>57</v>
      </c>
      <c r="G28">
        <v>3.2966731692882901E-5</v>
      </c>
      <c r="H28" t="s">
        <v>42</v>
      </c>
      <c r="I28" t="s">
        <v>51</v>
      </c>
      <c r="J28" t="s">
        <v>1657</v>
      </c>
    </row>
    <row r="29" spans="1:10" x14ac:dyDescent="0.2">
      <c r="A29">
        <v>0</v>
      </c>
      <c r="B29">
        <v>5.8214472731483297E-4</v>
      </c>
      <c r="C29">
        <v>3</v>
      </c>
      <c r="D29">
        <v>1076</v>
      </c>
      <c r="E29" t="s">
        <v>550</v>
      </c>
      <c r="F29" t="s">
        <v>551</v>
      </c>
      <c r="G29">
        <v>3.3198812635506197E-2</v>
      </c>
      <c r="H29" t="s">
        <v>42</v>
      </c>
      <c r="I29" t="s">
        <v>51</v>
      </c>
      <c r="J29" t="s">
        <v>1657</v>
      </c>
    </row>
    <row r="30" spans="1:10" x14ac:dyDescent="0.2">
      <c r="A30">
        <v>0</v>
      </c>
      <c r="B30">
        <v>5.2142865476616695E-4</v>
      </c>
      <c r="C30">
        <v>2</v>
      </c>
      <c r="D30">
        <v>319</v>
      </c>
      <c r="E30" t="s">
        <v>552</v>
      </c>
      <c r="F30" t="s">
        <v>553</v>
      </c>
      <c r="G30">
        <v>3.11937385376908E-2</v>
      </c>
      <c r="H30" t="s">
        <v>42</v>
      </c>
      <c r="I30" t="s">
        <v>51</v>
      </c>
      <c r="J30" t="s">
        <v>1657</v>
      </c>
    </row>
    <row r="31" spans="1:10" x14ac:dyDescent="0.2">
      <c r="A31">
        <v>0</v>
      </c>
      <c r="B31">
        <v>6.3519127792485805E-4</v>
      </c>
      <c r="C31">
        <v>2</v>
      </c>
      <c r="D31">
        <v>218</v>
      </c>
      <c r="E31" t="s">
        <v>554</v>
      </c>
      <c r="F31" t="s">
        <v>555</v>
      </c>
      <c r="G31">
        <v>3.5339732917273901E-2</v>
      </c>
      <c r="H31" t="s">
        <v>42</v>
      </c>
      <c r="I31" t="s">
        <v>51</v>
      </c>
      <c r="J31" t="s">
        <v>1657</v>
      </c>
    </row>
    <row r="32" spans="1:10" x14ac:dyDescent="0.2">
      <c r="A32">
        <v>0</v>
      </c>
      <c r="B32">
        <v>2.34415786619659E-5</v>
      </c>
      <c r="C32">
        <v>2</v>
      </c>
      <c r="D32">
        <v>1701</v>
      </c>
      <c r="E32" t="s">
        <v>62</v>
      </c>
      <c r="F32" t="s">
        <v>63</v>
      </c>
      <c r="G32">
        <v>3.4778778523934899E-3</v>
      </c>
      <c r="H32" t="s">
        <v>42</v>
      </c>
      <c r="I32" t="s">
        <v>51</v>
      </c>
      <c r="J32" t="s">
        <v>1650</v>
      </c>
    </row>
    <row r="33" spans="1:10" x14ac:dyDescent="0.2">
      <c r="A33">
        <v>0</v>
      </c>
      <c r="B33">
        <v>2.5025814167443499E-10</v>
      </c>
      <c r="C33">
        <v>2</v>
      </c>
      <c r="D33">
        <v>3445</v>
      </c>
      <c r="E33" t="s">
        <v>64</v>
      </c>
      <c r="F33" t="s">
        <v>65</v>
      </c>
      <c r="G33">
        <v>2.4505277232760702E-7</v>
      </c>
      <c r="H33" t="s">
        <v>42</v>
      </c>
      <c r="I33" t="s">
        <v>51</v>
      </c>
      <c r="J33" t="s">
        <v>1650</v>
      </c>
    </row>
    <row r="34" spans="1:10" x14ac:dyDescent="0.2">
      <c r="A34">
        <v>0</v>
      </c>
      <c r="B34">
        <v>8.5090377428995295E-9</v>
      </c>
      <c r="C34">
        <v>2</v>
      </c>
      <c r="D34">
        <v>1083</v>
      </c>
      <c r="E34" t="s">
        <v>66</v>
      </c>
      <c r="F34" t="s">
        <v>67</v>
      </c>
      <c r="G34">
        <v>5.9514641127480097E-6</v>
      </c>
      <c r="H34" t="s">
        <v>42</v>
      </c>
      <c r="I34" t="s">
        <v>51</v>
      </c>
      <c r="J34" t="s">
        <v>1650</v>
      </c>
    </row>
    <row r="35" spans="1:10" x14ac:dyDescent="0.2">
      <c r="A35">
        <v>0</v>
      </c>
      <c r="B35">
        <v>1.37720211646161E-8</v>
      </c>
      <c r="C35">
        <v>2</v>
      </c>
      <c r="D35">
        <v>138</v>
      </c>
      <c r="E35" t="s">
        <v>9</v>
      </c>
      <c r="F35" t="s">
        <v>10</v>
      </c>
      <c r="G35">
        <v>7.4919795135511602E-6</v>
      </c>
      <c r="H35" t="s">
        <v>42</v>
      </c>
      <c r="I35" t="s">
        <v>51</v>
      </c>
      <c r="J35" t="s">
        <v>1650</v>
      </c>
    </row>
    <row r="36" spans="1:10" x14ac:dyDescent="0.2">
      <c r="A36">
        <v>0</v>
      </c>
      <c r="B36">
        <v>3.00889897769874E-4</v>
      </c>
      <c r="C36">
        <v>3</v>
      </c>
      <c r="D36">
        <v>3152</v>
      </c>
      <c r="E36" t="s">
        <v>361</v>
      </c>
      <c r="F36" t="s">
        <v>362</v>
      </c>
      <c r="G36">
        <v>2.2320559689110699E-2</v>
      </c>
      <c r="H36" t="s">
        <v>42</v>
      </c>
      <c r="I36" t="s">
        <v>51</v>
      </c>
      <c r="J36" t="s">
        <v>1657</v>
      </c>
    </row>
    <row r="37" spans="1:10" x14ac:dyDescent="0.2">
      <c r="A37">
        <v>0</v>
      </c>
      <c r="B37">
        <v>7.39281728480936E-4</v>
      </c>
      <c r="C37">
        <v>3</v>
      </c>
      <c r="D37">
        <v>13</v>
      </c>
      <c r="E37" t="s">
        <v>556</v>
      </c>
      <c r="F37" t="s">
        <v>557</v>
      </c>
      <c r="G37">
        <v>3.8919605834867303E-2</v>
      </c>
      <c r="H37" t="s">
        <v>42</v>
      </c>
      <c r="I37" t="s">
        <v>51</v>
      </c>
      <c r="J37" t="s">
        <v>1650</v>
      </c>
    </row>
    <row r="38" spans="1:10" x14ac:dyDescent="0.2">
      <c r="A38">
        <v>0</v>
      </c>
      <c r="B38">
        <v>1.8818565628425801E-4</v>
      </c>
      <c r="C38">
        <v>2</v>
      </c>
      <c r="D38">
        <v>638</v>
      </c>
      <c r="E38" t="s">
        <v>130</v>
      </c>
      <c r="F38" t="s">
        <v>131</v>
      </c>
      <c r="G38">
        <v>1.5355949552795499E-2</v>
      </c>
      <c r="H38" t="s">
        <v>42</v>
      </c>
      <c r="I38" t="s">
        <v>51</v>
      </c>
      <c r="J38" t="s">
        <v>1657</v>
      </c>
    </row>
    <row r="39" spans="1:10" x14ac:dyDescent="0.2">
      <c r="A39">
        <v>0</v>
      </c>
      <c r="B39">
        <v>1.09023225674043E-7</v>
      </c>
      <c r="C39">
        <v>2</v>
      </c>
      <c r="D39">
        <v>2777</v>
      </c>
      <c r="E39" t="s">
        <v>11</v>
      </c>
      <c r="F39" t="s">
        <v>12</v>
      </c>
      <c r="G39">
        <v>4.1059824069239599E-5</v>
      </c>
      <c r="H39" t="s">
        <v>42</v>
      </c>
      <c r="I39" t="s">
        <v>51</v>
      </c>
      <c r="J39" t="s">
        <v>1650</v>
      </c>
    </row>
    <row r="40" spans="1:10" x14ac:dyDescent="0.2">
      <c r="A40">
        <v>0</v>
      </c>
      <c r="B40">
        <v>5.25924821112096E-11</v>
      </c>
      <c r="C40">
        <v>3</v>
      </c>
      <c r="D40">
        <v>893</v>
      </c>
      <c r="E40" t="s">
        <v>13</v>
      </c>
      <c r="F40" t="s">
        <v>14</v>
      </c>
      <c r="G40">
        <v>6.43731981041205E-8</v>
      </c>
      <c r="H40" t="s">
        <v>42</v>
      </c>
      <c r="I40" t="s">
        <v>51</v>
      </c>
      <c r="J40" t="s">
        <v>1657</v>
      </c>
    </row>
    <row r="41" spans="1:10" x14ac:dyDescent="0.2">
      <c r="A41">
        <v>0</v>
      </c>
      <c r="B41">
        <v>8.0318530150551401E-5</v>
      </c>
      <c r="C41">
        <v>4</v>
      </c>
      <c r="D41">
        <v>327</v>
      </c>
      <c r="E41" t="s">
        <v>558</v>
      </c>
      <c r="F41" t="s">
        <v>559</v>
      </c>
      <c r="G41">
        <v>8.5420978814089998E-3</v>
      </c>
      <c r="H41" t="s">
        <v>42</v>
      </c>
      <c r="I41" t="s">
        <v>51</v>
      </c>
      <c r="J41" t="s">
        <v>1657</v>
      </c>
    </row>
    <row r="42" spans="1:10" x14ac:dyDescent="0.2">
      <c r="A42">
        <v>0</v>
      </c>
      <c r="B42">
        <v>1.18937710123121E-5</v>
      </c>
      <c r="C42">
        <v>2</v>
      </c>
      <c r="D42">
        <v>691</v>
      </c>
      <c r="E42" t="s">
        <v>134</v>
      </c>
      <c r="F42" t="s">
        <v>135</v>
      </c>
      <c r="G42">
        <v>2.0797108170099998E-3</v>
      </c>
      <c r="H42" t="s">
        <v>42</v>
      </c>
      <c r="I42" t="s">
        <v>51</v>
      </c>
      <c r="J42" t="s">
        <v>1657</v>
      </c>
    </row>
    <row r="43" spans="1:10" x14ac:dyDescent="0.2">
      <c r="A43">
        <v>0</v>
      </c>
      <c r="B43">
        <v>1.5039431325762701E-6</v>
      </c>
      <c r="C43">
        <v>2</v>
      </c>
      <c r="D43">
        <v>1538</v>
      </c>
      <c r="E43" t="s">
        <v>370</v>
      </c>
      <c r="F43" t="s">
        <v>371</v>
      </c>
      <c r="G43">
        <v>3.8754239879438998E-4</v>
      </c>
      <c r="H43" t="s">
        <v>42</v>
      </c>
      <c r="I43" t="s">
        <v>51</v>
      </c>
      <c r="J43" t="s">
        <v>1650</v>
      </c>
    </row>
    <row r="44" spans="1:10" x14ac:dyDescent="0.2">
      <c r="A44">
        <v>0</v>
      </c>
      <c r="B44">
        <v>8.2001348126271005E-5</v>
      </c>
      <c r="C44">
        <v>2</v>
      </c>
      <c r="D44">
        <v>571</v>
      </c>
      <c r="E44" t="s">
        <v>560</v>
      </c>
      <c r="F44" t="s">
        <v>561</v>
      </c>
      <c r="G44">
        <v>8.5420978814089998E-3</v>
      </c>
      <c r="H44" t="s">
        <v>42</v>
      </c>
      <c r="I44" t="s">
        <v>51</v>
      </c>
      <c r="J44" t="s">
        <v>1650</v>
      </c>
    </row>
    <row r="45" spans="1:10" x14ac:dyDescent="0.2">
      <c r="A45">
        <v>0</v>
      </c>
      <c r="B45">
        <v>1.1478754029534801E-5</v>
      </c>
      <c r="C45">
        <v>2</v>
      </c>
      <c r="D45">
        <v>561</v>
      </c>
      <c r="E45" t="s">
        <v>562</v>
      </c>
      <c r="F45" t="s">
        <v>563</v>
      </c>
      <c r="G45">
        <v>2.0797108170099998E-3</v>
      </c>
      <c r="H45" t="s">
        <v>42</v>
      </c>
      <c r="I45" t="s">
        <v>51</v>
      </c>
      <c r="J45" t="s">
        <v>1650</v>
      </c>
    </row>
    <row r="46" spans="1:10" x14ac:dyDescent="0.2">
      <c r="A46">
        <v>0</v>
      </c>
      <c r="B46">
        <v>2.1359028274279801E-7</v>
      </c>
      <c r="C46">
        <v>2</v>
      </c>
      <c r="D46">
        <v>1651</v>
      </c>
      <c r="E46" t="s">
        <v>15</v>
      </c>
      <c r="F46" t="s">
        <v>16</v>
      </c>
      <c r="G46">
        <v>7.4695573164909905E-5</v>
      </c>
      <c r="H46" t="s">
        <v>42</v>
      </c>
      <c r="I46" t="s">
        <v>51</v>
      </c>
      <c r="J46" t="s">
        <v>1650</v>
      </c>
    </row>
    <row r="47" spans="1:10" x14ac:dyDescent="0.2">
      <c r="A47">
        <v>0</v>
      </c>
      <c r="B47">
        <v>2.7975434869422499E-6</v>
      </c>
      <c r="C47">
        <v>2</v>
      </c>
      <c r="D47">
        <v>194</v>
      </c>
      <c r="E47" t="s">
        <v>17</v>
      </c>
      <c r="F47" t="s">
        <v>18</v>
      </c>
      <c r="G47">
        <v>6.8483864560346295E-4</v>
      </c>
      <c r="H47" t="s">
        <v>42</v>
      </c>
      <c r="I47" t="s">
        <v>51</v>
      </c>
      <c r="J47" t="s">
        <v>1650</v>
      </c>
    </row>
    <row r="48" spans="1:10" x14ac:dyDescent="0.2">
      <c r="A48">
        <v>0</v>
      </c>
      <c r="B48">
        <v>7.7735223013076105E-4</v>
      </c>
      <c r="C48">
        <v>3</v>
      </c>
      <c r="D48">
        <v>2712</v>
      </c>
      <c r="E48" t="s">
        <v>564</v>
      </c>
      <c r="F48" t="s">
        <v>565</v>
      </c>
      <c r="G48">
        <v>4.0062279144423202E-2</v>
      </c>
      <c r="H48" t="s">
        <v>42</v>
      </c>
      <c r="I48" t="s">
        <v>51</v>
      </c>
      <c r="J48" t="s">
        <v>1650</v>
      </c>
    </row>
    <row r="49" spans="1:10" x14ac:dyDescent="0.2">
      <c r="A49">
        <v>0</v>
      </c>
      <c r="B49">
        <v>1.1994315900580701E-11</v>
      </c>
      <c r="C49">
        <v>3</v>
      </c>
      <c r="D49">
        <v>3616</v>
      </c>
      <c r="E49" t="s">
        <v>19</v>
      </c>
      <c r="F49" t="s">
        <v>20</v>
      </c>
      <c r="G49">
        <v>2.9362085324621601E-8</v>
      </c>
      <c r="H49" t="s">
        <v>42</v>
      </c>
      <c r="I49" t="s">
        <v>51</v>
      </c>
      <c r="J49" t="s">
        <v>1650</v>
      </c>
    </row>
    <row r="50" spans="1:10" x14ac:dyDescent="0.2">
      <c r="A50">
        <v>0</v>
      </c>
      <c r="B50">
        <v>2.00748634772231E-4</v>
      </c>
      <c r="C50">
        <v>3</v>
      </c>
      <c r="D50">
        <v>948</v>
      </c>
      <c r="E50" t="s">
        <v>72</v>
      </c>
      <c r="F50" t="s">
        <v>73</v>
      </c>
      <c r="G50">
        <v>1.5852666384594202E-2</v>
      </c>
      <c r="H50" t="s">
        <v>42</v>
      </c>
      <c r="I50" t="s">
        <v>51</v>
      </c>
      <c r="J50" t="s">
        <v>1650</v>
      </c>
    </row>
    <row r="51" spans="1:10" x14ac:dyDescent="0.2">
      <c r="A51">
        <v>0</v>
      </c>
      <c r="B51">
        <v>1.0491836237045201E-11</v>
      </c>
      <c r="C51">
        <v>2</v>
      </c>
      <c r="D51">
        <v>2409</v>
      </c>
      <c r="E51" t="s">
        <v>21</v>
      </c>
      <c r="F51" t="s">
        <v>22</v>
      </c>
      <c r="G51">
        <v>2.9362085324621601E-8</v>
      </c>
      <c r="H51" t="s">
        <v>42</v>
      </c>
      <c r="I51" t="s">
        <v>51</v>
      </c>
      <c r="J51" t="s">
        <v>1650</v>
      </c>
    </row>
    <row r="52" spans="1:10" x14ac:dyDescent="0.2">
      <c r="A52">
        <v>0</v>
      </c>
      <c r="B52">
        <v>1.6398837773881701E-8</v>
      </c>
      <c r="C52">
        <v>2</v>
      </c>
      <c r="D52">
        <v>1864</v>
      </c>
      <c r="E52" t="s">
        <v>566</v>
      </c>
      <c r="F52" t="s">
        <v>75</v>
      </c>
      <c r="G52">
        <v>8.0288709740924802E-6</v>
      </c>
      <c r="H52" t="s">
        <v>42</v>
      </c>
      <c r="I52" t="s">
        <v>51</v>
      </c>
      <c r="J52" t="s">
        <v>1650</v>
      </c>
    </row>
    <row r="53" spans="1:10" x14ac:dyDescent="0.2">
      <c r="A53">
        <v>0</v>
      </c>
      <c r="B53">
        <v>1.75470673388241E-4</v>
      </c>
      <c r="C53">
        <v>2</v>
      </c>
      <c r="D53">
        <v>632</v>
      </c>
      <c r="E53" t="s">
        <v>567</v>
      </c>
      <c r="F53" t="s">
        <v>568</v>
      </c>
      <c r="G53">
        <v>1.4561091812013999E-2</v>
      </c>
      <c r="H53" t="s">
        <v>42</v>
      </c>
      <c r="I53" t="s">
        <v>51</v>
      </c>
      <c r="J53" t="s">
        <v>1650</v>
      </c>
    </row>
    <row r="54" spans="1:10" x14ac:dyDescent="0.2">
      <c r="A54">
        <v>0</v>
      </c>
      <c r="B54">
        <v>2.90524816961617E-5</v>
      </c>
      <c r="C54">
        <v>4</v>
      </c>
      <c r="D54">
        <v>2484</v>
      </c>
      <c r="E54" t="s">
        <v>80</v>
      </c>
      <c r="F54" t="s">
        <v>81</v>
      </c>
      <c r="G54">
        <v>4.0640271538402196E-3</v>
      </c>
      <c r="H54" t="s">
        <v>42</v>
      </c>
      <c r="I54" t="s">
        <v>51</v>
      </c>
      <c r="J54" t="s">
        <v>1650</v>
      </c>
    </row>
    <row r="55" spans="1:10" x14ac:dyDescent="0.2">
      <c r="A55">
        <v>0</v>
      </c>
      <c r="B55">
        <v>3.8380751899479402E-6</v>
      </c>
      <c r="C55">
        <v>2</v>
      </c>
      <c r="D55">
        <v>3133</v>
      </c>
      <c r="E55" t="s">
        <v>174</v>
      </c>
      <c r="F55" t="s">
        <v>175</v>
      </c>
      <c r="G55">
        <v>8.9481981571357702E-4</v>
      </c>
      <c r="H55" t="s">
        <v>42</v>
      </c>
      <c r="I55" t="s">
        <v>51</v>
      </c>
      <c r="J55" t="s">
        <v>1650</v>
      </c>
    </row>
    <row r="56" spans="1:10" x14ac:dyDescent="0.2">
      <c r="A56">
        <v>0</v>
      </c>
      <c r="B56">
        <v>8.6073086911949998E-4</v>
      </c>
      <c r="C56">
        <v>2</v>
      </c>
      <c r="D56">
        <v>14</v>
      </c>
      <c r="E56" t="s">
        <v>569</v>
      </c>
      <c r="F56" t="s">
        <v>570</v>
      </c>
      <c r="G56">
        <v>4.3444725105248203E-2</v>
      </c>
      <c r="H56" t="s">
        <v>42</v>
      </c>
      <c r="I56" t="s">
        <v>51</v>
      </c>
      <c r="J56" t="s">
        <v>1650</v>
      </c>
    </row>
    <row r="57" spans="1:10" x14ac:dyDescent="0.2">
      <c r="A57">
        <v>0</v>
      </c>
      <c r="B57">
        <v>6.1637267227214796E-5</v>
      </c>
      <c r="C57">
        <v>2</v>
      </c>
      <c r="D57">
        <v>3675</v>
      </c>
      <c r="E57" t="s">
        <v>382</v>
      </c>
      <c r="F57" t="s">
        <v>383</v>
      </c>
      <c r="G57">
        <v>6.88205897860205E-3</v>
      </c>
      <c r="H57" t="s">
        <v>42</v>
      </c>
      <c r="I57" t="s">
        <v>51</v>
      </c>
      <c r="J57" t="s">
        <v>1658</v>
      </c>
    </row>
    <row r="58" spans="1:10" x14ac:dyDescent="0.2">
      <c r="A58">
        <v>0</v>
      </c>
      <c r="B58">
        <v>5.2435261147591099E-4</v>
      </c>
      <c r="C58">
        <v>2</v>
      </c>
      <c r="D58">
        <v>2205</v>
      </c>
      <c r="E58" t="s">
        <v>186</v>
      </c>
      <c r="F58" t="s">
        <v>187</v>
      </c>
      <c r="G58">
        <v>3.11937385376908E-2</v>
      </c>
      <c r="H58" t="s">
        <v>42</v>
      </c>
      <c r="I58" t="s">
        <v>51</v>
      </c>
      <c r="J58" t="s">
        <v>1650</v>
      </c>
    </row>
    <row r="59" spans="1:10" x14ac:dyDescent="0.2">
      <c r="A59">
        <v>0</v>
      </c>
      <c r="B59">
        <v>7.39281728480936E-4</v>
      </c>
      <c r="C59">
        <v>4</v>
      </c>
      <c r="D59">
        <v>13</v>
      </c>
      <c r="E59" t="s">
        <v>386</v>
      </c>
      <c r="F59" t="s">
        <v>387</v>
      </c>
      <c r="G59">
        <v>3.8919605834867303E-2</v>
      </c>
      <c r="H59" t="s">
        <v>42</v>
      </c>
      <c r="I59" t="s">
        <v>51</v>
      </c>
      <c r="J59" t="s">
        <v>1657</v>
      </c>
    </row>
    <row r="60" spans="1:10" x14ac:dyDescent="0.2">
      <c r="A60">
        <v>0</v>
      </c>
      <c r="B60">
        <v>4.2913834109116098E-4</v>
      </c>
      <c r="C60">
        <v>3</v>
      </c>
      <c r="D60">
        <v>10</v>
      </c>
      <c r="E60" t="s">
        <v>23</v>
      </c>
      <c r="F60" t="s">
        <v>24</v>
      </c>
      <c r="G60">
        <v>2.7835417265097799E-2</v>
      </c>
      <c r="H60" t="s">
        <v>42</v>
      </c>
      <c r="I60" t="s">
        <v>51</v>
      </c>
      <c r="J60" t="s">
        <v>1650</v>
      </c>
    </row>
    <row r="61" spans="1:10" x14ac:dyDescent="0.2">
      <c r="A61">
        <v>0</v>
      </c>
      <c r="B61">
        <v>5.04591955820536E-7</v>
      </c>
      <c r="C61">
        <v>3</v>
      </c>
      <c r="D61">
        <v>2082</v>
      </c>
      <c r="E61" t="s">
        <v>206</v>
      </c>
      <c r="F61" t="s">
        <v>207</v>
      </c>
      <c r="G61">
        <v>1.54405138481084E-4</v>
      </c>
      <c r="H61" t="s">
        <v>42</v>
      </c>
      <c r="I61" t="s">
        <v>51</v>
      </c>
      <c r="J61" t="s">
        <v>1658</v>
      </c>
    </row>
    <row r="62" spans="1:10" x14ac:dyDescent="0.2">
      <c r="A62">
        <v>0</v>
      </c>
      <c r="B62">
        <v>3.7084447549282502E-4</v>
      </c>
      <c r="C62">
        <v>2</v>
      </c>
      <c r="D62">
        <v>700</v>
      </c>
      <c r="E62" t="s">
        <v>208</v>
      </c>
      <c r="F62" t="s">
        <v>209</v>
      </c>
      <c r="G62">
        <v>2.54371010423389E-2</v>
      </c>
      <c r="H62" t="s">
        <v>42</v>
      </c>
      <c r="I62" t="s">
        <v>51</v>
      </c>
      <c r="J62" t="s">
        <v>1658</v>
      </c>
    </row>
    <row r="63" spans="1:10" x14ac:dyDescent="0.2">
      <c r="A63">
        <v>0</v>
      </c>
      <c r="B63">
        <v>8.4890950100901201E-6</v>
      </c>
      <c r="C63">
        <v>3</v>
      </c>
      <c r="D63">
        <v>1089</v>
      </c>
      <c r="E63" t="s">
        <v>210</v>
      </c>
      <c r="F63" t="s">
        <v>211</v>
      </c>
      <c r="G63">
        <v>1.73177538205838E-3</v>
      </c>
      <c r="H63" t="s">
        <v>42</v>
      </c>
      <c r="I63" t="s">
        <v>51</v>
      </c>
      <c r="J63" t="s">
        <v>1658</v>
      </c>
    </row>
    <row r="64" spans="1:10" x14ac:dyDescent="0.2">
      <c r="A64">
        <v>0</v>
      </c>
      <c r="B64">
        <v>3.0816936150350501E-5</v>
      </c>
      <c r="C64">
        <v>5</v>
      </c>
      <c r="D64">
        <v>114</v>
      </c>
      <c r="E64" t="s">
        <v>212</v>
      </c>
      <c r="F64" t="s">
        <v>213</v>
      </c>
      <c r="G64">
        <v>4.19110331644767E-3</v>
      </c>
      <c r="H64" t="s">
        <v>42</v>
      </c>
      <c r="I64" t="s">
        <v>51</v>
      </c>
      <c r="J64" t="s">
        <v>1657</v>
      </c>
    </row>
    <row r="65" spans="1:10" x14ac:dyDescent="0.2">
      <c r="A65">
        <v>0</v>
      </c>
      <c r="B65">
        <v>1.9748375452542701E-4</v>
      </c>
      <c r="C65">
        <v>4</v>
      </c>
      <c r="D65">
        <v>36</v>
      </c>
      <c r="E65" t="s">
        <v>571</v>
      </c>
      <c r="F65" t="s">
        <v>572</v>
      </c>
      <c r="G65">
        <v>1.5850499379614601E-2</v>
      </c>
      <c r="H65" t="s">
        <v>42</v>
      </c>
      <c r="I65" t="s">
        <v>51</v>
      </c>
      <c r="J65" t="s">
        <v>1657</v>
      </c>
    </row>
    <row r="66" spans="1:10" x14ac:dyDescent="0.2">
      <c r="A66">
        <v>0</v>
      </c>
      <c r="B66">
        <v>7.5223804190232196E-5</v>
      </c>
      <c r="C66">
        <v>2</v>
      </c>
      <c r="D66">
        <v>71</v>
      </c>
      <c r="E66" t="s">
        <v>573</v>
      </c>
      <c r="F66" t="s">
        <v>574</v>
      </c>
      <c r="G66">
        <v>8.1843498958972596E-3</v>
      </c>
      <c r="H66" t="s">
        <v>42</v>
      </c>
      <c r="I66" t="s">
        <v>51</v>
      </c>
      <c r="J66" t="s">
        <v>1657</v>
      </c>
    </row>
    <row r="67" spans="1:10" x14ac:dyDescent="0.2">
      <c r="A67">
        <v>0</v>
      </c>
      <c r="B67">
        <v>3.4401513033469798E-4</v>
      </c>
      <c r="C67">
        <v>5</v>
      </c>
      <c r="D67">
        <v>9</v>
      </c>
      <c r="E67" t="s">
        <v>575</v>
      </c>
      <c r="F67" t="s">
        <v>576</v>
      </c>
      <c r="G67">
        <v>2.40614011159812E-2</v>
      </c>
      <c r="H67" t="s">
        <v>42</v>
      </c>
      <c r="I67" t="s">
        <v>51</v>
      </c>
      <c r="J67" t="s">
        <v>1657</v>
      </c>
    </row>
    <row r="68" spans="1:10" x14ac:dyDescent="0.2">
      <c r="A68">
        <v>0</v>
      </c>
      <c r="B68">
        <v>4.8320686112606096E-6</v>
      </c>
      <c r="C68">
        <v>5</v>
      </c>
      <c r="D68">
        <v>11</v>
      </c>
      <c r="E68" t="s">
        <v>25</v>
      </c>
      <c r="F68" t="s">
        <v>26</v>
      </c>
      <c r="G68">
        <v>1.0753549054878201E-3</v>
      </c>
      <c r="H68" t="s">
        <v>42</v>
      </c>
      <c r="I68" t="s">
        <v>51</v>
      </c>
      <c r="J68" t="s">
        <v>1657</v>
      </c>
    </row>
    <row r="69" spans="1:10" x14ac:dyDescent="0.2">
      <c r="A69">
        <v>0</v>
      </c>
      <c r="B69">
        <v>7.39281728480936E-4</v>
      </c>
      <c r="C69">
        <v>3</v>
      </c>
      <c r="D69">
        <v>13</v>
      </c>
      <c r="E69" t="s">
        <v>577</v>
      </c>
      <c r="F69" t="s">
        <v>578</v>
      </c>
      <c r="G69">
        <v>3.8919605834867303E-2</v>
      </c>
      <c r="H69" t="s">
        <v>42</v>
      </c>
      <c r="I69" t="s">
        <v>51</v>
      </c>
      <c r="J69" t="s">
        <v>1657</v>
      </c>
    </row>
    <row r="70" spans="1:10" x14ac:dyDescent="0.2">
      <c r="A70">
        <v>0</v>
      </c>
      <c r="B70">
        <v>5.2342862386447195E-4</v>
      </c>
      <c r="C70">
        <v>2</v>
      </c>
      <c r="D70">
        <v>11</v>
      </c>
      <c r="E70" t="s">
        <v>27</v>
      </c>
      <c r="F70" t="s">
        <v>28</v>
      </c>
      <c r="G70">
        <v>3.11937385376908E-2</v>
      </c>
      <c r="H70" t="s">
        <v>42</v>
      </c>
      <c r="I70" t="s">
        <v>51</v>
      </c>
      <c r="J70" t="s">
        <v>1657</v>
      </c>
    </row>
    <row r="71" spans="1:10" x14ac:dyDescent="0.2">
      <c r="A71">
        <v>0</v>
      </c>
      <c r="B71">
        <v>1.21894970584647E-4</v>
      </c>
      <c r="C71">
        <v>2</v>
      </c>
      <c r="D71">
        <v>1220</v>
      </c>
      <c r="E71" t="s">
        <v>224</v>
      </c>
      <c r="F71" t="s">
        <v>225</v>
      </c>
      <c r="G71">
        <v>1.14016305427556E-2</v>
      </c>
      <c r="H71" t="s">
        <v>42</v>
      </c>
      <c r="I71" t="s">
        <v>51</v>
      </c>
      <c r="J71" t="s">
        <v>1650</v>
      </c>
    </row>
    <row r="72" spans="1:10" x14ac:dyDescent="0.2">
      <c r="A72">
        <v>0</v>
      </c>
      <c r="B72">
        <v>4.2913834109116098E-4</v>
      </c>
      <c r="C72">
        <v>3</v>
      </c>
      <c r="D72">
        <v>10</v>
      </c>
      <c r="E72" t="s">
        <v>579</v>
      </c>
      <c r="F72" t="s">
        <v>580</v>
      </c>
      <c r="G72">
        <v>2.7835417265097799E-2</v>
      </c>
      <c r="H72" t="s">
        <v>42</v>
      </c>
      <c r="I72" t="s">
        <v>51</v>
      </c>
      <c r="J72" t="s">
        <v>1650</v>
      </c>
    </row>
    <row r="73" spans="1:10" x14ac:dyDescent="0.2">
      <c r="A73">
        <v>0</v>
      </c>
      <c r="B73">
        <v>2.6811649108590099E-4</v>
      </c>
      <c r="C73">
        <v>3</v>
      </c>
      <c r="D73">
        <v>8</v>
      </c>
      <c r="E73" t="s">
        <v>581</v>
      </c>
      <c r="F73" t="s">
        <v>582</v>
      </c>
      <c r="G73">
        <v>2.0195359082408802E-2</v>
      </c>
      <c r="H73" t="s">
        <v>42</v>
      </c>
      <c r="I73" t="s">
        <v>51</v>
      </c>
      <c r="J73" t="s">
        <v>1657</v>
      </c>
    </row>
    <row r="74" spans="1:10" x14ac:dyDescent="0.2">
      <c r="A74">
        <v>0</v>
      </c>
      <c r="B74">
        <v>4.0851187150470501E-4</v>
      </c>
      <c r="C74">
        <v>6</v>
      </c>
      <c r="D74">
        <v>1383</v>
      </c>
      <c r="E74" t="s">
        <v>230</v>
      </c>
      <c r="F74" t="s">
        <v>231</v>
      </c>
      <c r="G74">
        <v>2.7398275655986799E-2</v>
      </c>
      <c r="H74" t="s">
        <v>42</v>
      </c>
      <c r="I74" t="s">
        <v>51</v>
      </c>
      <c r="J74" t="s">
        <v>1657</v>
      </c>
    </row>
    <row r="75" spans="1:10" x14ac:dyDescent="0.2">
      <c r="A75">
        <v>0</v>
      </c>
      <c r="B75">
        <v>5.2881542047147402E-4</v>
      </c>
      <c r="C75">
        <v>3</v>
      </c>
      <c r="D75">
        <v>446</v>
      </c>
      <c r="E75" t="s">
        <v>583</v>
      </c>
      <c r="F75" t="s">
        <v>584</v>
      </c>
      <c r="G75">
        <v>3.11937385376908E-2</v>
      </c>
      <c r="H75" t="s">
        <v>42</v>
      </c>
      <c r="I75" t="s">
        <v>51</v>
      </c>
      <c r="J75" t="s">
        <v>1650</v>
      </c>
    </row>
    <row r="76" spans="1:10" x14ac:dyDescent="0.2">
      <c r="A76">
        <v>0</v>
      </c>
      <c r="B76">
        <v>5.0752815603958501E-11</v>
      </c>
      <c r="C76">
        <v>2</v>
      </c>
      <c r="D76">
        <v>1124</v>
      </c>
      <c r="E76" t="s">
        <v>29</v>
      </c>
      <c r="F76" t="s">
        <v>30</v>
      </c>
      <c r="G76">
        <v>6.43731981041205E-8</v>
      </c>
      <c r="H76" t="s">
        <v>42</v>
      </c>
      <c r="I76" t="s">
        <v>51</v>
      </c>
      <c r="J76" t="s">
        <v>1650</v>
      </c>
    </row>
    <row r="77" spans="1:10" x14ac:dyDescent="0.2">
      <c r="A77">
        <v>0</v>
      </c>
      <c r="B77">
        <v>4.9817181217873797E-5</v>
      </c>
      <c r="C77">
        <v>2</v>
      </c>
      <c r="D77">
        <v>413</v>
      </c>
      <c r="E77" t="s">
        <v>585</v>
      </c>
      <c r="F77" t="s">
        <v>586</v>
      </c>
      <c r="G77">
        <v>6.2539722882746203E-3</v>
      </c>
      <c r="H77" t="s">
        <v>42</v>
      </c>
      <c r="I77" t="s">
        <v>51</v>
      </c>
      <c r="J77" t="s">
        <v>1657</v>
      </c>
    </row>
    <row r="78" spans="1:10" x14ac:dyDescent="0.2">
      <c r="A78">
        <v>0</v>
      </c>
      <c r="B78">
        <v>1.14674872487593E-6</v>
      </c>
      <c r="C78">
        <v>2</v>
      </c>
      <c r="D78">
        <v>1054</v>
      </c>
      <c r="E78" t="s">
        <v>587</v>
      </c>
      <c r="F78" t="s">
        <v>588</v>
      </c>
      <c r="G78">
        <v>3.1191565316625297E-4</v>
      </c>
      <c r="H78" t="s">
        <v>42</v>
      </c>
      <c r="I78" t="s">
        <v>51</v>
      </c>
      <c r="J78" t="s">
        <v>1650</v>
      </c>
    </row>
    <row r="79" spans="1:10" x14ac:dyDescent="0.2">
      <c r="A79">
        <v>0</v>
      </c>
      <c r="B79">
        <v>2.6811649108590099E-4</v>
      </c>
      <c r="C79">
        <v>2</v>
      </c>
      <c r="D79">
        <v>8</v>
      </c>
      <c r="E79" t="s">
        <v>589</v>
      </c>
      <c r="F79" t="s">
        <v>590</v>
      </c>
      <c r="G79">
        <v>2.0195359082408802E-2</v>
      </c>
      <c r="H79" t="s">
        <v>42</v>
      </c>
      <c r="I79" t="s">
        <v>51</v>
      </c>
      <c r="J79" t="s">
        <v>1657</v>
      </c>
    </row>
    <row r="80" spans="1:10" x14ac:dyDescent="0.2">
      <c r="A80">
        <v>0</v>
      </c>
      <c r="B80">
        <v>3.7407501532851301E-4</v>
      </c>
      <c r="C80">
        <v>5</v>
      </c>
      <c r="D80">
        <v>194</v>
      </c>
      <c r="E80" t="s">
        <v>591</v>
      </c>
      <c r="F80" t="s">
        <v>592</v>
      </c>
      <c r="G80">
        <v>2.54371010423389E-2</v>
      </c>
      <c r="H80" t="s">
        <v>42</v>
      </c>
      <c r="I80" t="s">
        <v>51</v>
      </c>
      <c r="J80" t="s">
        <v>1650</v>
      </c>
    </row>
    <row r="81" spans="1:10" x14ac:dyDescent="0.2">
      <c r="A81">
        <v>0</v>
      </c>
      <c r="B81">
        <v>9.0716399712129406E-6</v>
      </c>
      <c r="C81">
        <v>5</v>
      </c>
      <c r="D81">
        <v>805</v>
      </c>
      <c r="E81" t="s">
        <v>88</v>
      </c>
      <c r="F81" t="s">
        <v>89</v>
      </c>
      <c r="G81">
        <v>1.7765899719623399E-3</v>
      </c>
      <c r="H81" t="s">
        <v>42</v>
      </c>
      <c r="I81" t="s">
        <v>51</v>
      </c>
      <c r="J81" t="s">
        <v>1650</v>
      </c>
    </row>
    <row r="82" spans="1:10" x14ac:dyDescent="0.2">
      <c r="A82">
        <v>0</v>
      </c>
      <c r="B82">
        <v>1.3263169600656699E-8</v>
      </c>
      <c r="C82">
        <v>7</v>
      </c>
      <c r="D82">
        <v>1391</v>
      </c>
      <c r="E82" t="s">
        <v>242</v>
      </c>
      <c r="F82" t="s">
        <v>243</v>
      </c>
      <c r="G82">
        <v>7.4919795135511602E-6</v>
      </c>
      <c r="H82" t="s">
        <v>42</v>
      </c>
      <c r="I82" t="s">
        <v>51</v>
      </c>
      <c r="J82" t="s">
        <v>1650</v>
      </c>
    </row>
    <row r="83" spans="1:10" x14ac:dyDescent="0.2">
      <c r="A83">
        <v>0</v>
      </c>
      <c r="B83">
        <v>6.0262816739770802E-4</v>
      </c>
      <c r="C83">
        <v>3</v>
      </c>
      <c r="D83">
        <v>456</v>
      </c>
      <c r="E83" t="s">
        <v>416</v>
      </c>
      <c r="F83" t="s">
        <v>417</v>
      </c>
      <c r="G83">
        <v>3.3913419627346897E-2</v>
      </c>
      <c r="H83" t="s">
        <v>42</v>
      </c>
      <c r="I83" t="s">
        <v>51</v>
      </c>
      <c r="J83" t="s">
        <v>1650</v>
      </c>
    </row>
    <row r="84" spans="1:10" x14ac:dyDescent="0.2">
      <c r="A84">
        <v>0</v>
      </c>
      <c r="B84">
        <v>3.8406513393086798E-7</v>
      </c>
      <c r="C84">
        <v>2</v>
      </c>
      <c r="D84">
        <v>709</v>
      </c>
      <c r="E84" t="s">
        <v>246</v>
      </c>
      <c r="F84" t="s">
        <v>247</v>
      </c>
      <c r="G84">
        <v>1.25358859715035E-4</v>
      </c>
      <c r="H84" t="s">
        <v>42</v>
      </c>
      <c r="I84" t="s">
        <v>51</v>
      </c>
      <c r="J84" t="s">
        <v>1650</v>
      </c>
    </row>
    <row r="85" spans="1:10" x14ac:dyDescent="0.2">
      <c r="A85">
        <v>0</v>
      </c>
      <c r="B85">
        <v>6.3752217335698003E-7</v>
      </c>
      <c r="C85">
        <v>2</v>
      </c>
      <c r="D85">
        <v>22</v>
      </c>
      <c r="E85" t="s">
        <v>593</v>
      </c>
      <c r="F85" t="s">
        <v>594</v>
      </c>
      <c r="G85">
        <v>1.8360638592680999E-4</v>
      </c>
      <c r="H85" t="s">
        <v>42</v>
      </c>
      <c r="I85" t="s">
        <v>51</v>
      </c>
      <c r="J85" t="s">
        <v>1657</v>
      </c>
    </row>
    <row r="86" spans="1:10" x14ac:dyDescent="0.2">
      <c r="A86">
        <v>0</v>
      </c>
      <c r="B86">
        <v>2.59374865842339E-8</v>
      </c>
      <c r="C86">
        <v>4</v>
      </c>
      <c r="D86">
        <v>3714</v>
      </c>
      <c r="E86" t="s">
        <v>94</v>
      </c>
      <c r="F86" t="s">
        <v>95</v>
      </c>
      <c r="G86">
        <v>1.1544539483309899E-5</v>
      </c>
      <c r="H86" t="s">
        <v>42</v>
      </c>
      <c r="I86" t="s">
        <v>51</v>
      </c>
      <c r="J86" t="s">
        <v>1650</v>
      </c>
    </row>
    <row r="87" spans="1:10" x14ac:dyDescent="0.2">
      <c r="A87">
        <v>0</v>
      </c>
      <c r="B87">
        <v>7.39281728480936E-4</v>
      </c>
      <c r="C87">
        <v>2</v>
      </c>
      <c r="D87">
        <v>13</v>
      </c>
      <c r="E87" t="s">
        <v>595</v>
      </c>
      <c r="F87" t="s">
        <v>596</v>
      </c>
      <c r="G87">
        <v>3.8919605834867303E-2</v>
      </c>
      <c r="H87" t="s">
        <v>42</v>
      </c>
      <c r="I87" t="s">
        <v>51</v>
      </c>
      <c r="J87" t="s">
        <v>1650</v>
      </c>
    </row>
    <row r="88" spans="1:10" x14ac:dyDescent="0.2">
      <c r="A88">
        <v>0</v>
      </c>
      <c r="B88">
        <v>1.8073540095432598E-5</v>
      </c>
      <c r="C88">
        <v>2</v>
      </c>
      <c r="D88">
        <v>3848</v>
      </c>
      <c r="E88" t="s">
        <v>422</v>
      </c>
      <c r="F88" t="s">
        <v>423</v>
      </c>
      <c r="G88">
        <v>2.8544533002334799E-3</v>
      </c>
      <c r="H88" t="s">
        <v>42</v>
      </c>
      <c r="I88" t="s">
        <v>51</v>
      </c>
      <c r="J88" t="s">
        <v>1650</v>
      </c>
    </row>
    <row r="89" spans="1:10" x14ac:dyDescent="0.2">
      <c r="A89">
        <v>0</v>
      </c>
      <c r="B89">
        <v>2.0951059458140499E-4</v>
      </c>
      <c r="C89">
        <v>2</v>
      </c>
      <c r="D89">
        <v>1652</v>
      </c>
      <c r="E89" t="s">
        <v>597</v>
      </c>
      <c r="F89" t="s">
        <v>598</v>
      </c>
      <c r="G89">
        <v>1.62819662074692E-2</v>
      </c>
      <c r="H89" t="s">
        <v>42</v>
      </c>
      <c r="I89" t="s">
        <v>51</v>
      </c>
      <c r="J89" t="s">
        <v>1650</v>
      </c>
    </row>
    <row r="90" spans="1:10" x14ac:dyDescent="0.2">
      <c r="A90">
        <v>0</v>
      </c>
      <c r="B90">
        <v>8.5871553765639699E-5</v>
      </c>
      <c r="C90">
        <v>2</v>
      </c>
      <c r="D90">
        <v>228</v>
      </c>
      <c r="E90" t="s">
        <v>599</v>
      </c>
      <c r="F90" t="s">
        <v>600</v>
      </c>
      <c r="G90">
        <v>8.7588984840952493E-3</v>
      </c>
      <c r="H90" t="s">
        <v>42</v>
      </c>
      <c r="I90" t="s">
        <v>51</v>
      </c>
      <c r="J90" t="s">
        <v>1650</v>
      </c>
    </row>
    <row r="91" spans="1:10" x14ac:dyDescent="0.2">
      <c r="A91">
        <v>0</v>
      </c>
      <c r="B91">
        <v>5.1381014019455699E-4</v>
      </c>
      <c r="C91">
        <v>3</v>
      </c>
      <c r="D91">
        <v>117</v>
      </c>
      <c r="E91" t="s">
        <v>601</v>
      </c>
      <c r="F91" t="s">
        <v>602</v>
      </c>
      <c r="G91">
        <v>3.11937385376908E-2</v>
      </c>
      <c r="H91" t="s">
        <v>42</v>
      </c>
      <c r="I91" t="s">
        <v>51</v>
      </c>
      <c r="J91" t="s">
        <v>1650</v>
      </c>
    </row>
    <row r="92" spans="1:10" x14ac:dyDescent="0.2">
      <c r="A92">
        <v>0</v>
      </c>
      <c r="B92">
        <v>1.42545738727007E-4</v>
      </c>
      <c r="C92">
        <v>3</v>
      </c>
      <c r="D92">
        <v>2166</v>
      </c>
      <c r="E92" t="s">
        <v>256</v>
      </c>
      <c r="F92" t="s">
        <v>257</v>
      </c>
      <c r="G92">
        <v>1.2174516301724499E-2</v>
      </c>
      <c r="H92" t="s">
        <v>42</v>
      </c>
      <c r="I92" t="s">
        <v>51</v>
      </c>
      <c r="J92" t="s">
        <v>1650</v>
      </c>
    </row>
    <row r="93" spans="1:10" x14ac:dyDescent="0.2">
      <c r="A93">
        <v>0</v>
      </c>
      <c r="B93">
        <v>1.6942445395650101E-5</v>
      </c>
      <c r="C93">
        <v>2</v>
      </c>
      <c r="D93">
        <v>718</v>
      </c>
      <c r="E93" t="s">
        <v>258</v>
      </c>
      <c r="F93" t="s">
        <v>259</v>
      </c>
      <c r="G93">
        <v>2.7650070885700999E-3</v>
      </c>
      <c r="H93" t="s">
        <v>42</v>
      </c>
      <c r="I93" t="s">
        <v>51</v>
      </c>
      <c r="J93" t="s">
        <v>1650</v>
      </c>
    </row>
    <row r="94" spans="1:10" x14ac:dyDescent="0.2">
      <c r="A94">
        <v>0</v>
      </c>
      <c r="B94">
        <v>1.23496244880029E-4</v>
      </c>
      <c r="C94">
        <v>2</v>
      </c>
      <c r="D94">
        <v>2749</v>
      </c>
      <c r="E94" t="s">
        <v>603</v>
      </c>
      <c r="F94" t="s">
        <v>604</v>
      </c>
      <c r="G94">
        <v>1.14016305427556E-2</v>
      </c>
      <c r="H94" t="s">
        <v>42</v>
      </c>
      <c r="I94" t="s">
        <v>51</v>
      </c>
      <c r="J94" t="s">
        <v>1650</v>
      </c>
    </row>
    <row r="95" spans="1:10" x14ac:dyDescent="0.2">
      <c r="A95">
        <v>0</v>
      </c>
      <c r="B95">
        <v>4.0963740552299598E-5</v>
      </c>
      <c r="C95">
        <v>2</v>
      </c>
      <c r="D95">
        <v>939</v>
      </c>
      <c r="E95" t="s">
        <v>605</v>
      </c>
      <c r="F95" t="s">
        <v>606</v>
      </c>
      <c r="G95">
        <v>5.2778545722120696E-3</v>
      </c>
      <c r="H95" t="s">
        <v>42</v>
      </c>
      <c r="I95" t="s">
        <v>51</v>
      </c>
      <c r="J95" t="s">
        <v>1650</v>
      </c>
    </row>
    <row r="96" spans="1:10" x14ac:dyDescent="0.2">
      <c r="A96">
        <v>0</v>
      </c>
      <c r="B96">
        <v>8.7726392311478896E-5</v>
      </c>
      <c r="C96">
        <v>2</v>
      </c>
      <c r="D96">
        <v>142</v>
      </c>
      <c r="E96" t="s">
        <v>33</v>
      </c>
      <c r="F96" t="s">
        <v>34</v>
      </c>
      <c r="G96">
        <v>8.7654778930000097E-3</v>
      </c>
      <c r="H96" t="s">
        <v>42</v>
      </c>
      <c r="I96" t="s">
        <v>51</v>
      </c>
      <c r="J96" t="s">
        <v>1657</v>
      </c>
    </row>
    <row r="97" spans="1:10" x14ac:dyDescent="0.2">
      <c r="A97">
        <v>0</v>
      </c>
      <c r="B97">
        <v>3.2714487016242998E-4</v>
      </c>
      <c r="C97">
        <v>2</v>
      </c>
      <c r="D97">
        <v>1534</v>
      </c>
      <c r="E97" t="s">
        <v>272</v>
      </c>
      <c r="F97" t="s">
        <v>273</v>
      </c>
      <c r="G97">
        <v>2.3905989318138199E-2</v>
      </c>
      <c r="H97" t="s">
        <v>42</v>
      </c>
      <c r="I97" t="s">
        <v>51</v>
      </c>
      <c r="J97" t="s">
        <v>1650</v>
      </c>
    </row>
    <row r="98" spans="1:10" x14ac:dyDescent="0.2">
      <c r="A98">
        <v>0</v>
      </c>
      <c r="B98">
        <v>1.0076866411577699E-3</v>
      </c>
      <c r="C98">
        <v>2</v>
      </c>
      <c r="D98">
        <v>2772</v>
      </c>
      <c r="E98" t="s">
        <v>98</v>
      </c>
      <c r="F98" t="s">
        <v>99</v>
      </c>
      <c r="G98">
        <v>4.8368958775572998E-2</v>
      </c>
      <c r="H98" t="s">
        <v>42</v>
      </c>
      <c r="I98" t="s">
        <v>51</v>
      </c>
      <c r="J98" t="s">
        <v>1650</v>
      </c>
    </row>
    <row r="99" spans="1:10" x14ac:dyDescent="0.2">
      <c r="A99">
        <v>0</v>
      </c>
      <c r="B99">
        <v>9.6346986030878206E-5</v>
      </c>
      <c r="C99">
        <v>6</v>
      </c>
      <c r="D99">
        <v>5</v>
      </c>
      <c r="E99" t="s">
        <v>35</v>
      </c>
      <c r="F99" t="s">
        <v>36</v>
      </c>
      <c r="G99">
        <v>9.43429687214359E-3</v>
      </c>
      <c r="H99" t="s">
        <v>42</v>
      </c>
      <c r="I99" t="s">
        <v>51</v>
      </c>
      <c r="J99" t="s">
        <v>1657</v>
      </c>
    </row>
    <row r="100" spans="1:10" x14ac:dyDescent="0.2">
      <c r="A100">
        <v>0</v>
      </c>
      <c r="B100">
        <v>1.44224253574351E-4</v>
      </c>
      <c r="C100">
        <v>2</v>
      </c>
      <c r="D100">
        <v>6</v>
      </c>
      <c r="E100" t="s">
        <v>607</v>
      </c>
      <c r="F100" t="s">
        <v>608</v>
      </c>
      <c r="G100">
        <v>1.2174516301724499E-2</v>
      </c>
      <c r="H100" t="s">
        <v>42</v>
      </c>
      <c r="I100" t="s">
        <v>51</v>
      </c>
      <c r="J100" t="s">
        <v>1650</v>
      </c>
    </row>
    <row r="101" spans="1:10" x14ac:dyDescent="0.2">
      <c r="A101">
        <v>0</v>
      </c>
      <c r="B101">
        <v>8.3527137134934402E-4</v>
      </c>
      <c r="C101">
        <v>3</v>
      </c>
      <c r="D101">
        <v>1306</v>
      </c>
      <c r="E101" t="s">
        <v>280</v>
      </c>
      <c r="F101" t="s">
        <v>281</v>
      </c>
      <c r="G101">
        <v>4.2598839938816503E-2</v>
      </c>
      <c r="H101" t="s">
        <v>42</v>
      </c>
      <c r="I101" t="s">
        <v>51</v>
      </c>
      <c r="J101" t="s">
        <v>1650</v>
      </c>
    </row>
    <row r="102" spans="1:10" x14ac:dyDescent="0.2">
      <c r="A102">
        <v>0</v>
      </c>
      <c r="B102">
        <v>9.5879962028743001E-4</v>
      </c>
      <c r="C102">
        <v>2</v>
      </c>
      <c r="D102">
        <v>3207</v>
      </c>
      <c r="E102" t="s">
        <v>512</v>
      </c>
      <c r="F102" t="s">
        <v>513</v>
      </c>
      <c r="G102">
        <v>4.6946777312012897E-2</v>
      </c>
      <c r="H102" t="s">
        <v>42</v>
      </c>
      <c r="I102" t="s">
        <v>51</v>
      </c>
      <c r="J102" t="s">
        <v>1650</v>
      </c>
    </row>
    <row r="103" spans="1:10" x14ac:dyDescent="0.2">
      <c r="A103">
        <v>0</v>
      </c>
      <c r="B103">
        <v>5.7536686013343299E-5</v>
      </c>
      <c r="C103">
        <v>3</v>
      </c>
      <c r="D103">
        <v>24</v>
      </c>
      <c r="E103" t="s">
        <v>609</v>
      </c>
      <c r="F103" t="s">
        <v>610</v>
      </c>
      <c r="G103">
        <v>6.87072231027631E-3</v>
      </c>
      <c r="H103" t="s">
        <v>42</v>
      </c>
      <c r="I103" t="s">
        <v>51</v>
      </c>
      <c r="J103" t="s">
        <v>1650</v>
      </c>
    </row>
    <row r="104" spans="1:10" x14ac:dyDescent="0.2">
      <c r="A104">
        <v>0</v>
      </c>
      <c r="B104">
        <v>9.2683841316009699E-4</v>
      </c>
      <c r="C104">
        <v>2</v>
      </c>
      <c r="D104">
        <v>1706</v>
      </c>
      <c r="E104" t="s">
        <v>611</v>
      </c>
      <c r="F104" t="s">
        <v>612</v>
      </c>
      <c r="G104">
        <v>4.6304090518692199E-2</v>
      </c>
      <c r="H104" t="s">
        <v>42</v>
      </c>
      <c r="I104" t="s">
        <v>51</v>
      </c>
      <c r="J104" t="s">
        <v>1650</v>
      </c>
    </row>
    <row r="105" spans="1:10" x14ac:dyDescent="0.2">
      <c r="A105">
        <v>0</v>
      </c>
      <c r="B105">
        <v>9.5888025555581995E-4</v>
      </c>
      <c r="C105">
        <v>4</v>
      </c>
      <c r="D105">
        <v>1144</v>
      </c>
      <c r="E105" t="s">
        <v>613</v>
      </c>
      <c r="F105" t="s">
        <v>614</v>
      </c>
      <c r="G105">
        <v>4.6946777312012897E-2</v>
      </c>
      <c r="H105" t="s">
        <v>42</v>
      </c>
      <c r="I105" t="s">
        <v>51</v>
      </c>
      <c r="J105" t="s">
        <v>1650</v>
      </c>
    </row>
    <row r="106" spans="1:10" x14ac:dyDescent="0.2">
      <c r="A106">
        <v>0</v>
      </c>
      <c r="B106">
        <v>5.3901427368740398E-9</v>
      </c>
      <c r="C106">
        <v>2</v>
      </c>
      <c r="D106">
        <v>695</v>
      </c>
      <c r="E106" t="s">
        <v>37</v>
      </c>
      <c r="F106" t="s">
        <v>38</v>
      </c>
      <c r="G106">
        <v>4.3983564732892203E-6</v>
      </c>
      <c r="H106" t="s">
        <v>42</v>
      </c>
      <c r="I106" t="s">
        <v>51</v>
      </c>
      <c r="J106" t="s">
        <v>1650</v>
      </c>
    </row>
    <row r="107" spans="1:10" x14ac:dyDescent="0.2">
      <c r="A107">
        <v>0</v>
      </c>
      <c r="B107">
        <v>1.6213144724845401E-5</v>
      </c>
      <c r="C107">
        <v>2</v>
      </c>
      <c r="D107">
        <v>16</v>
      </c>
      <c r="E107" t="s">
        <v>615</v>
      </c>
      <c r="F107" t="s">
        <v>616</v>
      </c>
      <c r="G107">
        <v>2.73722608871873E-3</v>
      </c>
      <c r="H107" t="s">
        <v>42</v>
      </c>
      <c r="I107" t="s">
        <v>51</v>
      </c>
      <c r="J107" t="s">
        <v>1650</v>
      </c>
    </row>
    <row r="108" spans="1:10" x14ac:dyDescent="0.2">
      <c r="A108">
        <v>0</v>
      </c>
      <c r="B108">
        <v>5.99160667005881E-5</v>
      </c>
      <c r="C108">
        <v>3</v>
      </c>
      <c r="D108">
        <v>67</v>
      </c>
      <c r="E108" t="s">
        <v>292</v>
      </c>
      <c r="F108" t="s">
        <v>293</v>
      </c>
      <c r="G108">
        <v>6.88205897860205E-3</v>
      </c>
      <c r="H108" t="s">
        <v>42</v>
      </c>
      <c r="I108" t="s">
        <v>51</v>
      </c>
      <c r="J108" t="s">
        <v>1650</v>
      </c>
    </row>
    <row r="109" spans="1:10" x14ac:dyDescent="0.2">
      <c r="A109">
        <v>0</v>
      </c>
      <c r="B109">
        <v>4.3737895067952099E-4</v>
      </c>
      <c r="C109">
        <v>2</v>
      </c>
      <c r="D109">
        <v>47</v>
      </c>
      <c r="E109" t="s">
        <v>294</v>
      </c>
      <c r="F109" t="s">
        <v>295</v>
      </c>
      <c r="G109">
        <v>2.7835417265097799E-2</v>
      </c>
      <c r="H109" t="s">
        <v>42</v>
      </c>
      <c r="I109" t="s">
        <v>51</v>
      </c>
      <c r="J109" t="s">
        <v>1650</v>
      </c>
    </row>
    <row r="110" spans="1:10" x14ac:dyDescent="0.2">
      <c r="A110">
        <v>0</v>
      </c>
      <c r="B110">
        <v>1.1011879771484499E-5</v>
      </c>
      <c r="C110">
        <v>2</v>
      </c>
      <c r="D110">
        <v>3746</v>
      </c>
      <c r="E110" t="s">
        <v>447</v>
      </c>
      <c r="F110" t="s">
        <v>235</v>
      </c>
      <c r="G110">
        <v>2.0736216677380002E-3</v>
      </c>
      <c r="H110" t="s">
        <v>42</v>
      </c>
      <c r="I110" t="s">
        <v>51</v>
      </c>
      <c r="J110" t="s">
        <v>1650</v>
      </c>
    </row>
    <row r="111" spans="1:10" x14ac:dyDescent="0.2">
      <c r="A111">
        <v>0</v>
      </c>
      <c r="B111">
        <v>3.4401513033469798E-4</v>
      </c>
      <c r="C111">
        <v>7</v>
      </c>
      <c r="D111">
        <v>9</v>
      </c>
      <c r="E111" t="s">
        <v>306</v>
      </c>
      <c r="F111" t="s">
        <v>307</v>
      </c>
      <c r="G111">
        <v>2.40614011159812E-2</v>
      </c>
      <c r="H111" t="s">
        <v>42</v>
      </c>
      <c r="I111" t="s">
        <v>51</v>
      </c>
      <c r="J111" t="s">
        <v>1650</v>
      </c>
    </row>
    <row r="112" spans="1:10" x14ac:dyDescent="0.2">
      <c r="A112">
        <v>0</v>
      </c>
      <c r="B112">
        <v>1.25753278045099E-4</v>
      </c>
      <c r="C112">
        <v>2</v>
      </c>
      <c r="D112">
        <v>31</v>
      </c>
      <c r="E112" t="s">
        <v>617</v>
      </c>
      <c r="F112" t="s">
        <v>618</v>
      </c>
      <c r="G112">
        <v>1.14016305427556E-2</v>
      </c>
      <c r="H112" t="s">
        <v>42</v>
      </c>
      <c r="I112" t="s">
        <v>51</v>
      </c>
      <c r="J112" t="s">
        <v>1650</v>
      </c>
    </row>
    <row r="113" spans="1:10" x14ac:dyDescent="0.2">
      <c r="A113">
        <v>0</v>
      </c>
      <c r="B113">
        <v>2.57977130109204E-5</v>
      </c>
      <c r="C113">
        <v>4</v>
      </c>
      <c r="D113">
        <v>1204</v>
      </c>
      <c r="E113" t="s">
        <v>308</v>
      </c>
      <c r="F113" t="s">
        <v>309</v>
      </c>
      <c r="G113">
        <v>3.7148706735725401E-3</v>
      </c>
      <c r="H113" t="s">
        <v>42</v>
      </c>
      <c r="I113" t="s">
        <v>51</v>
      </c>
      <c r="J113" t="s">
        <v>1650</v>
      </c>
    </row>
    <row r="114" spans="1:10" x14ac:dyDescent="0.2">
      <c r="A114">
        <v>0</v>
      </c>
      <c r="B114">
        <v>1.0843269909810101E-6</v>
      </c>
      <c r="C114">
        <v>2</v>
      </c>
      <c r="D114">
        <v>238</v>
      </c>
      <c r="E114" t="s">
        <v>458</v>
      </c>
      <c r="F114" t="s">
        <v>459</v>
      </c>
      <c r="G114">
        <v>5.3088649478430297E-3</v>
      </c>
      <c r="H114" t="s">
        <v>42</v>
      </c>
      <c r="I114" t="s">
        <v>337</v>
      </c>
      <c r="J114" t="s">
        <v>1650</v>
      </c>
    </row>
    <row r="115" spans="1:10" x14ac:dyDescent="0.2">
      <c r="A115">
        <v>0</v>
      </c>
      <c r="B115">
        <v>5.1125541286744901E-5</v>
      </c>
      <c r="C115">
        <v>3</v>
      </c>
      <c r="D115">
        <v>298</v>
      </c>
      <c r="E115" t="s">
        <v>619</v>
      </c>
      <c r="F115" t="s">
        <v>620</v>
      </c>
      <c r="G115">
        <v>2.2449550931179001E-2</v>
      </c>
      <c r="H115" t="s">
        <v>42</v>
      </c>
      <c r="I115" t="s">
        <v>337</v>
      </c>
      <c r="J115" t="s">
        <v>1650</v>
      </c>
    </row>
    <row r="116" spans="1:10" x14ac:dyDescent="0.2">
      <c r="A116">
        <v>0</v>
      </c>
      <c r="B116">
        <v>7.09439054459115E-6</v>
      </c>
      <c r="C116">
        <v>2</v>
      </c>
      <c r="D116">
        <v>1105</v>
      </c>
      <c r="E116" t="s">
        <v>621</v>
      </c>
      <c r="F116" t="s">
        <v>622</v>
      </c>
      <c r="G116">
        <v>8.3143463667732804E-3</v>
      </c>
      <c r="H116" t="s">
        <v>42</v>
      </c>
      <c r="I116" t="s">
        <v>337</v>
      </c>
      <c r="J116" t="s">
        <v>1652</v>
      </c>
    </row>
    <row r="117" spans="1:10" x14ac:dyDescent="0.2">
      <c r="A117">
        <v>0</v>
      </c>
      <c r="B117">
        <v>1.91862808935606E-4</v>
      </c>
      <c r="C117">
        <v>2</v>
      </c>
      <c r="D117">
        <v>271</v>
      </c>
      <c r="E117" t="s">
        <v>623</v>
      </c>
      <c r="F117" t="s">
        <v>624</v>
      </c>
      <c r="G117">
        <v>4.47314434547013E-2</v>
      </c>
      <c r="H117" t="s">
        <v>42</v>
      </c>
      <c r="I117" t="s">
        <v>337</v>
      </c>
      <c r="J117" t="s">
        <v>1652</v>
      </c>
    </row>
    <row r="118" spans="1:10" x14ac:dyDescent="0.2">
      <c r="A118">
        <v>0</v>
      </c>
      <c r="B118">
        <v>1.8499714886819599E-4</v>
      </c>
      <c r="C118">
        <v>2</v>
      </c>
      <c r="D118">
        <v>5</v>
      </c>
      <c r="E118" t="s">
        <v>625</v>
      </c>
      <c r="F118" t="s">
        <v>626</v>
      </c>
      <c r="G118">
        <v>4.47314434547013E-2</v>
      </c>
      <c r="H118" t="s">
        <v>42</v>
      </c>
      <c r="I118" t="s">
        <v>337</v>
      </c>
      <c r="J118" t="s">
        <v>1650</v>
      </c>
    </row>
    <row r="119" spans="1:10" x14ac:dyDescent="0.2">
      <c r="A119">
        <v>0</v>
      </c>
      <c r="B119">
        <v>1.3032344115203001E-4</v>
      </c>
      <c r="C119">
        <v>3</v>
      </c>
      <c r="D119">
        <v>436</v>
      </c>
      <c r="E119" t="s">
        <v>627</v>
      </c>
      <c r="F119" t="s">
        <v>628</v>
      </c>
      <c r="G119">
        <v>3.5447975993352199E-2</v>
      </c>
      <c r="H119" t="s">
        <v>42</v>
      </c>
      <c r="I119" t="s">
        <v>337</v>
      </c>
      <c r="J119" t="s">
        <v>1650</v>
      </c>
    </row>
    <row r="120" spans="1:10" x14ac:dyDescent="0.2">
      <c r="A120">
        <v>0</v>
      </c>
      <c r="B120">
        <v>5.5023409145046603E-5</v>
      </c>
      <c r="C120">
        <v>3</v>
      </c>
      <c r="D120">
        <v>93</v>
      </c>
      <c r="E120" t="s">
        <v>629</v>
      </c>
      <c r="F120" t="s">
        <v>630</v>
      </c>
      <c r="G120">
        <v>2.2449550931179001E-2</v>
      </c>
      <c r="H120" t="s">
        <v>42</v>
      </c>
      <c r="I120" t="s">
        <v>337</v>
      </c>
      <c r="J120" t="s">
        <v>1650</v>
      </c>
    </row>
    <row r="121" spans="1:10" x14ac:dyDescent="0.2">
      <c r="A121">
        <v>0</v>
      </c>
      <c r="B121">
        <v>8.4909582994008195E-6</v>
      </c>
      <c r="C121">
        <v>2</v>
      </c>
      <c r="D121">
        <v>109</v>
      </c>
      <c r="E121" t="s">
        <v>488</v>
      </c>
      <c r="F121" t="s">
        <v>489</v>
      </c>
      <c r="G121">
        <v>8.3143463667732804E-3</v>
      </c>
      <c r="H121" t="s">
        <v>42</v>
      </c>
      <c r="I121" t="s">
        <v>337</v>
      </c>
      <c r="J121" t="s">
        <v>1650</v>
      </c>
    </row>
    <row r="122" spans="1:10" x14ac:dyDescent="0.2">
      <c r="A122">
        <v>0</v>
      </c>
      <c r="B122">
        <v>8.4427990674039707E-5</v>
      </c>
      <c r="C122">
        <v>3</v>
      </c>
      <c r="D122">
        <v>53</v>
      </c>
      <c r="E122" t="s">
        <v>631</v>
      </c>
      <c r="F122" t="s">
        <v>632</v>
      </c>
      <c r="G122">
        <v>2.6403982355809E-2</v>
      </c>
      <c r="H122" t="s">
        <v>42</v>
      </c>
      <c r="I122" t="s">
        <v>337</v>
      </c>
      <c r="J122" t="s">
        <v>632</v>
      </c>
    </row>
    <row r="123" spans="1:10" x14ac:dyDescent="0.2">
      <c r="A123">
        <v>0</v>
      </c>
      <c r="B123">
        <v>6.6717543029492702E-5</v>
      </c>
      <c r="C123">
        <v>2</v>
      </c>
      <c r="D123">
        <v>157</v>
      </c>
      <c r="E123" t="s">
        <v>633</v>
      </c>
      <c r="F123" t="s">
        <v>634</v>
      </c>
      <c r="G123">
        <v>2.5126853128645901E-2</v>
      </c>
      <c r="H123" t="s">
        <v>42</v>
      </c>
      <c r="I123" t="s">
        <v>337</v>
      </c>
      <c r="J123" t="s">
        <v>1650</v>
      </c>
    </row>
    <row r="124" spans="1:10" x14ac:dyDescent="0.2">
      <c r="A124">
        <v>0</v>
      </c>
      <c r="B124">
        <v>2.8083943484186399E-5</v>
      </c>
      <c r="C124">
        <v>4</v>
      </c>
      <c r="D124">
        <v>14</v>
      </c>
      <c r="E124" t="s">
        <v>635</v>
      </c>
      <c r="F124" t="s">
        <v>636</v>
      </c>
      <c r="G124">
        <v>1.7172607236051501E-2</v>
      </c>
      <c r="H124" t="s">
        <v>42</v>
      </c>
      <c r="I124" t="s">
        <v>337</v>
      </c>
      <c r="J124" t="s">
        <v>1650</v>
      </c>
    </row>
    <row r="125" spans="1:10" x14ac:dyDescent="0.2">
      <c r="A125">
        <v>0</v>
      </c>
      <c r="B125">
        <v>1.6495040707264699E-4</v>
      </c>
      <c r="C125">
        <v>2</v>
      </c>
      <c r="D125">
        <v>450</v>
      </c>
      <c r="E125" t="s">
        <v>637</v>
      </c>
      <c r="F125" t="s">
        <v>638</v>
      </c>
      <c r="G125">
        <v>4.2505115422509503E-2</v>
      </c>
      <c r="H125" t="s">
        <v>42</v>
      </c>
      <c r="I125" t="s">
        <v>337</v>
      </c>
      <c r="J125" t="s">
        <v>1650</v>
      </c>
    </row>
    <row r="126" spans="1:10" x14ac:dyDescent="0.2">
      <c r="A126">
        <v>0</v>
      </c>
      <c r="B126">
        <v>2.0755748105967501E-5</v>
      </c>
      <c r="C126">
        <v>2</v>
      </c>
      <c r="D126">
        <v>76</v>
      </c>
      <c r="E126" t="s">
        <v>639</v>
      </c>
      <c r="F126" t="s">
        <v>640</v>
      </c>
      <c r="G126">
        <v>1.5482912343107599E-2</v>
      </c>
      <c r="H126" t="s">
        <v>42</v>
      </c>
      <c r="I126" t="s">
        <v>337</v>
      </c>
      <c r="J126" t="s">
        <v>1650</v>
      </c>
    </row>
    <row r="127" spans="1:10" x14ac:dyDescent="0.2">
      <c r="A127">
        <v>0</v>
      </c>
      <c r="B127">
        <v>2.2136516830423401E-5</v>
      </c>
      <c r="C127">
        <v>3</v>
      </c>
      <c r="D127">
        <v>13</v>
      </c>
      <c r="E127" t="s">
        <v>641</v>
      </c>
      <c r="F127" t="s">
        <v>642</v>
      </c>
      <c r="G127">
        <v>1.5482912343107599E-2</v>
      </c>
      <c r="H127" t="s">
        <v>42</v>
      </c>
      <c r="I127" t="s">
        <v>337</v>
      </c>
      <c r="J127" t="s">
        <v>1650</v>
      </c>
    </row>
    <row r="128" spans="1:10" x14ac:dyDescent="0.2">
      <c r="A128">
        <v>0</v>
      </c>
      <c r="B128">
        <v>7.5307280520347498E-6</v>
      </c>
      <c r="C128">
        <v>2</v>
      </c>
      <c r="D128">
        <v>3207</v>
      </c>
      <c r="E128" t="s">
        <v>512</v>
      </c>
      <c r="F128" t="s">
        <v>513</v>
      </c>
      <c r="G128">
        <v>8.3143463667732804E-3</v>
      </c>
      <c r="H128" t="s">
        <v>42</v>
      </c>
      <c r="I128" t="s">
        <v>337</v>
      </c>
      <c r="J128" t="s">
        <v>1650</v>
      </c>
    </row>
    <row r="129" spans="1:10" x14ac:dyDescent="0.2">
      <c r="A129">
        <v>0</v>
      </c>
      <c r="B129">
        <v>3.3492445166559598E-5</v>
      </c>
      <c r="C129">
        <v>3</v>
      </c>
      <c r="D129">
        <v>42</v>
      </c>
      <c r="E129" t="s">
        <v>643</v>
      </c>
      <c r="F129" t="s">
        <v>644</v>
      </c>
      <c r="G129">
        <v>1.7172607236051501E-2</v>
      </c>
      <c r="H129" t="s">
        <v>42</v>
      </c>
      <c r="I129" t="s">
        <v>337</v>
      </c>
      <c r="J129" t="s">
        <v>1650</v>
      </c>
    </row>
    <row r="130" spans="1:10" x14ac:dyDescent="0.2">
      <c r="A130">
        <v>0</v>
      </c>
      <c r="B130">
        <v>4.4042106744956503E-6</v>
      </c>
      <c r="C130">
        <v>3</v>
      </c>
      <c r="D130">
        <v>8</v>
      </c>
      <c r="E130" t="s">
        <v>514</v>
      </c>
      <c r="F130" t="s">
        <v>515</v>
      </c>
      <c r="G130">
        <v>8.3143463667732804E-3</v>
      </c>
      <c r="H130" t="s">
        <v>42</v>
      </c>
      <c r="I130" t="s">
        <v>337</v>
      </c>
      <c r="J130" t="s">
        <v>1650</v>
      </c>
    </row>
    <row r="131" spans="1:10" x14ac:dyDescent="0.2">
      <c r="A131">
        <v>0</v>
      </c>
      <c r="B131">
        <v>8.6287524038591501E-5</v>
      </c>
      <c r="C131">
        <v>5</v>
      </c>
      <c r="D131">
        <v>20</v>
      </c>
      <c r="E131" t="s">
        <v>516</v>
      </c>
      <c r="F131" t="s">
        <v>517</v>
      </c>
      <c r="G131">
        <v>2.6403982355809E-2</v>
      </c>
      <c r="H131" t="s">
        <v>42</v>
      </c>
      <c r="I131" t="s">
        <v>337</v>
      </c>
      <c r="J131" t="s">
        <v>1650</v>
      </c>
    </row>
    <row r="132" spans="1:10" x14ac:dyDescent="0.2">
      <c r="A132">
        <v>0</v>
      </c>
      <c r="B132">
        <v>3.5074769681477702E-5</v>
      </c>
      <c r="C132">
        <v>2</v>
      </c>
      <c r="D132">
        <v>367</v>
      </c>
      <c r="E132" t="s">
        <v>518</v>
      </c>
      <c r="F132" t="s">
        <v>519</v>
      </c>
      <c r="G132">
        <v>1.7172607236051501E-2</v>
      </c>
      <c r="H132" t="s">
        <v>42</v>
      </c>
      <c r="I132" t="s">
        <v>337</v>
      </c>
      <c r="J132" t="s">
        <v>1650</v>
      </c>
    </row>
    <row r="133" spans="1:10" x14ac:dyDescent="0.2">
      <c r="A133">
        <v>0</v>
      </c>
      <c r="B133">
        <v>1.2810306018987E-4</v>
      </c>
      <c r="C133">
        <v>3</v>
      </c>
      <c r="D133">
        <v>435</v>
      </c>
      <c r="E133" t="s">
        <v>645</v>
      </c>
      <c r="F133" t="s">
        <v>646</v>
      </c>
      <c r="G133">
        <v>3.5447975993352199E-2</v>
      </c>
      <c r="H133" t="s">
        <v>42</v>
      </c>
      <c r="I133" t="s">
        <v>337</v>
      </c>
      <c r="J133" t="s">
        <v>1650</v>
      </c>
    </row>
    <row r="134" spans="1:10" x14ac:dyDescent="0.2">
      <c r="A134">
        <v>0</v>
      </c>
      <c r="B134">
        <v>7.9343149322098607E-5</v>
      </c>
      <c r="C134">
        <v>3</v>
      </c>
      <c r="D134">
        <v>162</v>
      </c>
      <c r="E134" t="s">
        <v>647</v>
      </c>
      <c r="F134" t="s">
        <v>648</v>
      </c>
      <c r="G134">
        <v>2.6403982355809E-2</v>
      </c>
      <c r="H134" t="s">
        <v>42</v>
      </c>
      <c r="I134" t="s">
        <v>337</v>
      </c>
      <c r="J134" t="s">
        <v>1650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8C33E-B043-714B-8047-908B523C96E5}">
  <sheetPr codeName="Sheet7"/>
  <dimension ref="A1:N314"/>
  <sheetViews>
    <sheetView zoomScale="117" workbookViewId="0">
      <selection activeCell="F265" sqref="F265"/>
    </sheetView>
  </sheetViews>
  <sheetFormatPr baseColWidth="10" defaultRowHeight="16" x14ac:dyDescent="0.2"/>
  <cols>
    <col min="5" max="5" width="10.83203125" customWidth="1"/>
  </cols>
  <sheetData>
    <row r="1" spans="1:10" x14ac:dyDescent="0.2">
      <c r="A1" t="s">
        <v>649</v>
      </c>
    </row>
    <row r="2" spans="1:10" x14ac:dyDescent="0.2">
      <c r="A2" t="s">
        <v>45</v>
      </c>
    </row>
    <row r="3" spans="1:10" x14ac:dyDescent="0.2">
      <c r="A3" t="s">
        <v>46</v>
      </c>
    </row>
    <row r="4" spans="1:10" x14ac:dyDescent="0.2">
      <c r="A4" t="s">
        <v>47</v>
      </c>
    </row>
    <row r="5" spans="1:10" x14ac:dyDescent="0.2">
      <c r="A5" t="s">
        <v>48</v>
      </c>
    </row>
    <row r="6" spans="1:10" x14ac:dyDescent="0.2">
      <c r="A6" t="s">
        <v>49</v>
      </c>
    </row>
    <row r="7" spans="1:10" x14ac:dyDescent="0.2">
      <c r="A7" t="s">
        <v>44</v>
      </c>
    </row>
    <row r="8" spans="1:10" x14ac:dyDescent="0.2">
      <c r="A8" t="s">
        <v>43</v>
      </c>
    </row>
    <row r="9" spans="1:10" x14ac:dyDescent="0.2">
      <c r="A9" t="s">
        <v>52</v>
      </c>
    </row>
    <row r="10" spans="1:10" ht="17" thickBot="1" x14ac:dyDescent="0.25">
      <c r="A10" t="s">
        <v>1661</v>
      </c>
    </row>
    <row r="11" spans="1:10" ht="17" thickBot="1" x14ac:dyDescent="0.25">
      <c r="A11" s="2" t="s">
        <v>0</v>
      </c>
      <c r="B11" s="2" t="s">
        <v>1</v>
      </c>
      <c r="C11" s="2" t="s">
        <v>2</v>
      </c>
      <c r="D11" s="2" t="s">
        <v>3</v>
      </c>
      <c r="E11" s="2" t="s">
        <v>4</v>
      </c>
      <c r="F11" s="2" t="s">
        <v>5</v>
      </c>
      <c r="G11" s="2" t="s">
        <v>6</v>
      </c>
      <c r="H11" s="2" t="s">
        <v>41</v>
      </c>
      <c r="I11" s="2" t="s">
        <v>50</v>
      </c>
      <c r="J11" s="11" t="s">
        <v>1647</v>
      </c>
    </row>
    <row r="12" spans="1:10" x14ac:dyDescent="0.2">
      <c r="A12">
        <v>0</v>
      </c>
      <c r="B12">
        <v>7.7931545573128405E-5</v>
      </c>
      <c r="C12">
        <v>6</v>
      </c>
      <c r="D12">
        <v>426</v>
      </c>
      <c r="E12" t="s">
        <v>108</v>
      </c>
      <c r="F12" t="s">
        <v>109</v>
      </c>
      <c r="G12">
        <v>4.2394760791781899E-3</v>
      </c>
      <c r="H12" t="s">
        <v>42</v>
      </c>
      <c r="I12" t="s">
        <v>51</v>
      </c>
      <c r="J12" t="s">
        <v>1650</v>
      </c>
    </row>
    <row r="13" spans="1:10" x14ac:dyDescent="0.2">
      <c r="A13">
        <v>0</v>
      </c>
      <c r="B13" s="1">
        <v>8.1382759966339697E-6</v>
      </c>
      <c r="C13">
        <v>3</v>
      </c>
      <c r="D13">
        <v>324</v>
      </c>
      <c r="E13" t="s">
        <v>527</v>
      </c>
      <c r="F13" t="s">
        <v>528</v>
      </c>
      <c r="G13">
        <v>6.4266127870193403E-4</v>
      </c>
      <c r="H13" t="s">
        <v>42</v>
      </c>
      <c r="I13" t="s">
        <v>51</v>
      </c>
      <c r="J13" t="s">
        <v>1650</v>
      </c>
    </row>
    <row r="14" spans="1:10" x14ac:dyDescent="0.2">
      <c r="A14">
        <v>0</v>
      </c>
      <c r="B14" s="1">
        <v>1.2772938445214199E-3</v>
      </c>
      <c r="C14">
        <v>3</v>
      </c>
      <c r="D14">
        <v>15</v>
      </c>
      <c r="E14" t="s">
        <v>650</v>
      </c>
      <c r="F14" t="s">
        <v>651</v>
      </c>
      <c r="G14">
        <v>3.7446890196268699E-2</v>
      </c>
      <c r="H14" t="s">
        <v>42</v>
      </c>
      <c r="I14" t="s">
        <v>51</v>
      </c>
      <c r="J14" t="s">
        <v>1650</v>
      </c>
    </row>
    <row r="15" spans="1:10" x14ac:dyDescent="0.2">
      <c r="A15">
        <v>0</v>
      </c>
      <c r="B15" s="1">
        <v>2.1624043200638102E-6</v>
      </c>
      <c r="C15">
        <v>2</v>
      </c>
      <c r="D15">
        <v>58</v>
      </c>
      <c r="E15" t="s">
        <v>542</v>
      </c>
      <c r="F15" t="s">
        <v>543</v>
      </c>
      <c r="G15">
        <v>2.0359868367369999E-4</v>
      </c>
      <c r="H15" t="s">
        <v>42</v>
      </c>
      <c r="I15" t="s">
        <v>51</v>
      </c>
      <c r="J15" t="s">
        <v>1650</v>
      </c>
    </row>
    <row r="16" spans="1:10" x14ac:dyDescent="0.2">
      <c r="A16">
        <v>0</v>
      </c>
      <c r="B16" s="1">
        <v>1.8649802911266401E-5</v>
      </c>
      <c r="C16">
        <v>2</v>
      </c>
      <c r="D16">
        <v>23</v>
      </c>
      <c r="E16" t="s">
        <v>652</v>
      </c>
      <c r="F16" t="s">
        <v>653</v>
      </c>
      <c r="G16">
        <v>1.32332514570377E-3</v>
      </c>
      <c r="H16" t="s">
        <v>42</v>
      </c>
      <c r="I16" t="s">
        <v>51</v>
      </c>
      <c r="J16" t="s">
        <v>1650</v>
      </c>
    </row>
    <row r="17" spans="1:10" x14ac:dyDescent="0.2">
      <c r="A17">
        <v>0</v>
      </c>
      <c r="B17" s="1">
        <v>3.1253869031836198E-5</v>
      </c>
      <c r="C17">
        <v>2</v>
      </c>
      <c r="D17">
        <v>107</v>
      </c>
      <c r="E17" t="s">
        <v>546</v>
      </c>
      <c r="F17" t="s">
        <v>547</v>
      </c>
      <c r="G17">
        <v>1.98362953155032E-3</v>
      </c>
      <c r="H17" t="s">
        <v>42</v>
      </c>
      <c r="I17" t="s">
        <v>51</v>
      </c>
      <c r="J17" t="s">
        <v>1657</v>
      </c>
    </row>
    <row r="18" spans="1:10" x14ac:dyDescent="0.2">
      <c r="A18">
        <v>0</v>
      </c>
      <c r="B18" s="1">
        <v>1.0376355558782E-4</v>
      </c>
      <c r="C18">
        <v>4</v>
      </c>
      <c r="D18">
        <v>73</v>
      </c>
      <c r="E18" t="s">
        <v>654</v>
      </c>
      <c r="F18" t="s">
        <v>655</v>
      </c>
      <c r="G18">
        <v>5.1839425322241497E-3</v>
      </c>
      <c r="H18" t="s">
        <v>42</v>
      </c>
      <c r="I18" t="s">
        <v>51</v>
      </c>
      <c r="J18" t="s">
        <v>1657</v>
      </c>
    </row>
    <row r="19" spans="1:10" x14ac:dyDescent="0.2">
      <c r="A19">
        <v>0</v>
      </c>
      <c r="B19" s="1">
        <v>1.22218681505129E-4</v>
      </c>
      <c r="C19">
        <v>2</v>
      </c>
      <c r="D19">
        <v>18</v>
      </c>
      <c r="E19" t="s">
        <v>656</v>
      </c>
      <c r="F19" t="s">
        <v>657</v>
      </c>
      <c r="G19">
        <v>5.7536794677799201E-3</v>
      </c>
      <c r="H19" t="s">
        <v>42</v>
      </c>
      <c r="I19" t="s">
        <v>51</v>
      </c>
      <c r="J19" t="s">
        <v>1657</v>
      </c>
    </row>
    <row r="20" spans="1:10" x14ac:dyDescent="0.2">
      <c r="A20">
        <v>0</v>
      </c>
      <c r="B20" s="1">
        <v>1.45563003741368E-4</v>
      </c>
      <c r="C20">
        <v>1</v>
      </c>
      <c r="D20">
        <v>1257</v>
      </c>
      <c r="E20" t="s">
        <v>56</v>
      </c>
      <c r="F20" t="s">
        <v>57</v>
      </c>
      <c r="G20">
        <v>6.6605277225956798E-3</v>
      </c>
      <c r="H20" t="s">
        <v>42</v>
      </c>
      <c r="I20" t="s">
        <v>51</v>
      </c>
      <c r="J20" t="s">
        <v>1657</v>
      </c>
    </row>
    <row r="21" spans="1:10" x14ac:dyDescent="0.2">
      <c r="A21">
        <v>0</v>
      </c>
      <c r="B21">
        <v>7.8187572383316996E-4</v>
      </c>
      <c r="C21">
        <v>2</v>
      </c>
      <c r="D21">
        <v>1076</v>
      </c>
      <c r="E21" t="s">
        <v>550</v>
      </c>
      <c r="F21" t="s">
        <v>551</v>
      </c>
      <c r="G21">
        <v>2.5892183852123201E-2</v>
      </c>
      <c r="H21" t="s">
        <v>42</v>
      </c>
      <c r="I21" t="s">
        <v>51</v>
      </c>
      <c r="J21" t="s">
        <v>1657</v>
      </c>
    </row>
    <row r="22" spans="1:10" x14ac:dyDescent="0.2">
      <c r="A22">
        <v>0</v>
      </c>
      <c r="B22">
        <v>1.0880024501330699E-4</v>
      </c>
      <c r="C22">
        <v>2</v>
      </c>
      <c r="D22">
        <v>218</v>
      </c>
      <c r="E22" t="s">
        <v>554</v>
      </c>
      <c r="F22" t="s">
        <v>555</v>
      </c>
      <c r="G22">
        <v>5.23801848065443E-3</v>
      </c>
      <c r="H22" t="s">
        <v>42</v>
      </c>
      <c r="I22" t="s">
        <v>51</v>
      </c>
      <c r="J22" t="s">
        <v>1657</v>
      </c>
    </row>
    <row r="23" spans="1:10" x14ac:dyDescent="0.2">
      <c r="A23">
        <v>0</v>
      </c>
      <c r="B23" s="1">
        <v>1.5635875162774599E-4</v>
      </c>
      <c r="C23">
        <v>2</v>
      </c>
      <c r="D23">
        <v>334</v>
      </c>
      <c r="E23" t="s">
        <v>116</v>
      </c>
      <c r="F23" t="s">
        <v>117</v>
      </c>
      <c r="G23">
        <v>7.0232334676095798E-3</v>
      </c>
      <c r="H23" t="s">
        <v>42</v>
      </c>
      <c r="I23" t="s">
        <v>51</v>
      </c>
      <c r="J23" t="s">
        <v>1650</v>
      </c>
    </row>
    <row r="24" spans="1:10" x14ac:dyDescent="0.2">
      <c r="A24">
        <v>0</v>
      </c>
      <c r="B24" s="1">
        <v>2.3733555745890901E-5</v>
      </c>
      <c r="C24">
        <v>2</v>
      </c>
      <c r="D24">
        <v>217</v>
      </c>
      <c r="E24" t="s">
        <v>60</v>
      </c>
      <c r="F24" t="s">
        <v>61</v>
      </c>
      <c r="G24">
        <v>1.6366125201673499E-3</v>
      </c>
      <c r="H24" t="s">
        <v>42</v>
      </c>
      <c r="I24" t="s">
        <v>51</v>
      </c>
      <c r="J24" t="s">
        <v>1650</v>
      </c>
    </row>
    <row r="25" spans="1:10" x14ac:dyDescent="0.2">
      <c r="A25">
        <v>0</v>
      </c>
      <c r="B25" s="1">
        <v>2.4897991009212399E-8</v>
      </c>
      <c r="C25">
        <v>2</v>
      </c>
      <c r="D25">
        <v>1701</v>
      </c>
      <c r="E25" t="s">
        <v>62</v>
      </c>
      <c r="F25" t="s">
        <v>63</v>
      </c>
      <c r="G25">
        <v>5.3000245209175604E-6</v>
      </c>
      <c r="H25" t="s">
        <v>42</v>
      </c>
      <c r="I25" t="s">
        <v>51</v>
      </c>
      <c r="J25" t="s">
        <v>1650</v>
      </c>
    </row>
    <row r="26" spans="1:10" x14ac:dyDescent="0.2">
      <c r="A26">
        <v>0</v>
      </c>
      <c r="B26" s="1">
        <v>6.2452486887783806E-14</v>
      </c>
      <c r="C26">
        <v>6</v>
      </c>
      <c r="D26">
        <v>3445</v>
      </c>
      <c r="E26" t="s">
        <v>64</v>
      </c>
      <c r="F26" t="s">
        <v>65</v>
      </c>
      <c r="G26">
        <v>1.52883687901295E-10</v>
      </c>
      <c r="H26" t="s">
        <v>42</v>
      </c>
      <c r="I26" t="s">
        <v>51</v>
      </c>
      <c r="J26" t="s">
        <v>1650</v>
      </c>
    </row>
    <row r="27" spans="1:10" x14ac:dyDescent="0.2">
      <c r="A27">
        <v>0</v>
      </c>
      <c r="B27" s="1">
        <v>1.0730103731502799E-6</v>
      </c>
      <c r="C27">
        <v>2</v>
      </c>
      <c r="D27">
        <v>1083</v>
      </c>
      <c r="E27" t="s">
        <v>66</v>
      </c>
      <c r="F27" t="s">
        <v>67</v>
      </c>
      <c r="G27">
        <v>1.2813314114497001E-4</v>
      </c>
      <c r="H27" t="s">
        <v>42</v>
      </c>
      <c r="I27" t="s">
        <v>51</v>
      </c>
      <c r="J27" t="s">
        <v>1650</v>
      </c>
    </row>
    <row r="28" spans="1:10" x14ac:dyDescent="0.2">
      <c r="A28">
        <v>0</v>
      </c>
      <c r="B28" s="1">
        <v>2.1516844905398699E-6</v>
      </c>
      <c r="C28">
        <v>7</v>
      </c>
      <c r="D28">
        <v>41</v>
      </c>
      <c r="E28" t="s">
        <v>658</v>
      </c>
      <c r="F28" t="s">
        <v>659</v>
      </c>
      <c r="G28">
        <v>2.0359868367369999E-4</v>
      </c>
      <c r="H28" t="s">
        <v>42</v>
      </c>
      <c r="I28" t="s">
        <v>51</v>
      </c>
      <c r="J28" t="s">
        <v>1650</v>
      </c>
    </row>
    <row r="29" spans="1:10" x14ac:dyDescent="0.2">
      <c r="A29">
        <v>0</v>
      </c>
      <c r="B29">
        <v>3.9550636294885399E-8</v>
      </c>
      <c r="C29">
        <v>2</v>
      </c>
      <c r="D29">
        <v>677</v>
      </c>
      <c r="E29" t="s">
        <v>124</v>
      </c>
      <c r="F29" t="s">
        <v>125</v>
      </c>
      <c r="G29">
        <v>7.7455966119903608E-6</v>
      </c>
      <c r="H29" t="s">
        <v>42</v>
      </c>
      <c r="I29" t="s">
        <v>51</v>
      </c>
      <c r="J29" t="s">
        <v>1650</v>
      </c>
    </row>
    <row r="30" spans="1:10" x14ac:dyDescent="0.2">
      <c r="A30">
        <v>0</v>
      </c>
      <c r="B30">
        <v>2.13844918004064E-6</v>
      </c>
      <c r="C30">
        <v>3</v>
      </c>
      <c r="D30">
        <v>359</v>
      </c>
      <c r="E30" t="s">
        <v>126</v>
      </c>
      <c r="F30" t="s">
        <v>127</v>
      </c>
      <c r="G30">
        <v>2.0359868367369999E-4</v>
      </c>
      <c r="H30" t="s">
        <v>42</v>
      </c>
      <c r="I30" t="s">
        <v>51</v>
      </c>
      <c r="J30" t="s">
        <v>1650</v>
      </c>
    </row>
    <row r="31" spans="1:10" x14ac:dyDescent="0.2">
      <c r="A31">
        <v>0</v>
      </c>
      <c r="B31">
        <v>1.01523989232151E-8</v>
      </c>
      <c r="C31">
        <v>5</v>
      </c>
      <c r="D31">
        <v>131</v>
      </c>
      <c r="E31" t="s">
        <v>660</v>
      </c>
      <c r="F31" t="s">
        <v>661</v>
      </c>
      <c r="G31">
        <v>2.48530725640306E-6</v>
      </c>
      <c r="H31" t="s">
        <v>42</v>
      </c>
      <c r="I31" t="s">
        <v>51</v>
      </c>
      <c r="J31" t="s">
        <v>1650</v>
      </c>
    </row>
    <row r="32" spans="1:10" x14ac:dyDescent="0.2">
      <c r="A32">
        <v>0</v>
      </c>
      <c r="B32">
        <v>2.4894356255902498E-4</v>
      </c>
      <c r="C32">
        <v>5</v>
      </c>
      <c r="D32">
        <v>204</v>
      </c>
      <c r="E32" t="s">
        <v>468</v>
      </c>
      <c r="F32" t="s">
        <v>469</v>
      </c>
      <c r="G32">
        <v>1.03290481549914E-2</v>
      </c>
      <c r="H32" t="s">
        <v>42</v>
      </c>
      <c r="I32" t="s">
        <v>51</v>
      </c>
      <c r="J32" t="s">
        <v>1651</v>
      </c>
    </row>
    <row r="33" spans="1:10" x14ac:dyDescent="0.2">
      <c r="A33">
        <v>0</v>
      </c>
      <c r="B33">
        <v>8.4167548667737102E-7</v>
      </c>
      <c r="C33">
        <v>3</v>
      </c>
      <c r="D33">
        <v>404</v>
      </c>
      <c r="E33" t="s">
        <v>359</v>
      </c>
      <c r="F33" t="s">
        <v>360</v>
      </c>
      <c r="G33">
        <v>1.05662645712113E-4</v>
      </c>
      <c r="H33" t="s">
        <v>42</v>
      </c>
      <c r="I33" t="s">
        <v>51</v>
      </c>
      <c r="J33" t="s">
        <v>1650</v>
      </c>
    </row>
    <row r="34" spans="1:10" x14ac:dyDescent="0.2">
      <c r="A34">
        <v>0</v>
      </c>
      <c r="B34">
        <v>1.05511555768396E-11</v>
      </c>
      <c r="C34">
        <v>7</v>
      </c>
      <c r="D34">
        <v>30</v>
      </c>
      <c r="E34" t="s">
        <v>662</v>
      </c>
      <c r="F34" t="s">
        <v>663</v>
      </c>
      <c r="G34">
        <v>1.2914614426051701E-8</v>
      </c>
      <c r="H34" t="s">
        <v>42</v>
      </c>
      <c r="I34" t="s">
        <v>51</v>
      </c>
      <c r="J34" t="s">
        <v>1650</v>
      </c>
    </row>
    <row r="35" spans="1:10" x14ac:dyDescent="0.2">
      <c r="A35">
        <v>0</v>
      </c>
      <c r="B35">
        <v>2.7847357123329801E-11</v>
      </c>
      <c r="C35">
        <v>2</v>
      </c>
      <c r="D35">
        <v>138</v>
      </c>
      <c r="E35" t="s">
        <v>9</v>
      </c>
      <c r="F35" t="s">
        <v>10</v>
      </c>
      <c r="G35">
        <v>2.7268132095164501E-8</v>
      </c>
      <c r="H35" t="s">
        <v>42</v>
      </c>
      <c r="I35" t="s">
        <v>51</v>
      </c>
      <c r="J35" t="s">
        <v>1650</v>
      </c>
    </row>
    <row r="36" spans="1:10" x14ac:dyDescent="0.2">
      <c r="A36">
        <v>0</v>
      </c>
      <c r="B36">
        <v>1.3402756255944901E-9</v>
      </c>
      <c r="C36">
        <v>4</v>
      </c>
      <c r="D36">
        <v>3152</v>
      </c>
      <c r="E36" t="s">
        <v>361</v>
      </c>
      <c r="F36" t="s">
        <v>362</v>
      </c>
      <c r="G36">
        <v>4.6871353306504501E-7</v>
      </c>
      <c r="H36" t="s">
        <v>42</v>
      </c>
      <c r="I36" t="s">
        <v>51</v>
      </c>
      <c r="J36" t="s">
        <v>1658</v>
      </c>
    </row>
    <row r="37" spans="1:10" x14ac:dyDescent="0.2">
      <c r="A37">
        <v>0</v>
      </c>
      <c r="B37">
        <v>2.15804527588993E-4</v>
      </c>
      <c r="C37">
        <v>6</v>
      </c>
      <c r="D37">
        <v>588</v>
      </c>
      <c r="E37" t="s">
        <v>664</v>
      </c>
      <c r="F37" t="s">
        <v>665</v>
      </c>
      <c r="G37">
        <v>9.1084393713423192E-3</v>
      </c>
      <c r="H37" t="s">
        <v>42</v>
      </c>
      <c r="I37" t="s">
        <v>51</v>
      </c>
      <c r="J37" t="s">
        <v>1650</v>
      </c>
    </row>
    <row r="38" spans="1:10" x14ac:dyDescent="0.2">
      <c r="A38">
        <v>0</v>
      </c>
      <c r="B38">
        <v>5.1217084275191502E-5</v>
      </c>
      <c r="C38">
        <v>3</v>
      </c>
      <c r="D38">
        <v>302</v>
      </c>
      <c r="E38" t="s">
        <v>472</v>
      </c>
      <c r="F38" t="s">
        <v>473</v>
      </c>
      <c r="G38">
        <v>3.0580346903821701E-3</v>
      </c>
      <c r="H38" t="s">
        <v>42</v>
      </c>
      <c r="I38" t="s">
        <v>51</v>
      </c>
      <c r="J38" t="s">
        <v>1651</v>
      </c>
    </row>
    <row r="39" spans="1:10" x14ac:dyDescent="0.2">
      <c r="A39">
        <v>0</v>
      </c>
      <c r="B39">
        <v>1.4607347328781E-8</v>
      </c>
      <c r="C39">
        <v>2</v>
      </c>
      <c r="D39">
        <v>317</v>
      </c>
      <c r="E39" t="s">
        <v>666</v>
      </c>
      <c r="F39" t="s">
        <v>667</v>
      </c>
      <c r="G39">
        <v>3.4055986915100799E-6</v>
      </c>
      <c r="H39" t="s">
        <v>42</v>
      </c>
      <c r="I39" t="s">
        <v>51</v>
      </c>
      <c r="J39" t="s">
        <v>1659</v>
      </c>
    </row>
    <row r="40" spans="1:10" x14ac:dyDescent="0.2">
      <c r="A40">
        <v>0</v>
      </c>
      <c r="B40">
        <v>4.6549318659090298E-4</v>
      </c>
      <c r="C40">
        <v>2</v>
      </c>
      <c r="D40">
        <v>25</v>
      </c>
      <c r="E40" t="s">
        <v>668</v>
      </c>
      <c r="F40" t="s">
        <v>669</v>
      </c>
      <c r="G40">
        <v>1.68818862336967E-2</v>
      </c>
      <c r="H40" t="s">
        <v>42</v>
      </c>
      <c r="I40" t="s">
        <v>51</v>
      </c>
      <c r="J40" t="s">
        <v>1660</v>
      </c>
    </row>
    <row r="41" spans="1:10" x14ac:dyDescent="0.2">
      <c r="A41">
        <v>0</v>
      </c>
      <c r="B41">
        <v>5.0986164670931795E-4</v>
      </c>
      <c r="C41">
        <v>2</v>
      </c>
      <c r="D41">
        <v>68</v>
      </c>
      <c r="E41" t="s">
        <v>670</v>
      </c>
      <c r="F41" t="s">
        <v>671</v>
      </c>
      <c r="G41">
        <v>1.8221041038604498E-2</v>
      </c>
      <c r="H41" t="s">
        <v>42</v>
      </c>
      <c r="I41" t="s">
        <v>51</v>
      </c>
      <c r="J41" t="s">
        <v>1650</v>
      </c>
    </row>
    <row r="42" spans="1:10" x14ac:dyDescent="0.2">
      <c r="A42">
        <v>0</v>
      </c>
      <c r="B42">
        <v>1.0544435695608299E-4</v>
      </c>
      <c r="C42">
        <v>2</v>
      </c>
      <c r="D42">
        <v>1382</v>
      </c>
      <c r="E42" t="s">
        <v>672</v>
      </c>
      <c r="F42" t="s">
        <v>673</v>
      </c>
      <c r="G42">
        <v>5.2147027440099204E-3</v>
      </c>
      <c r="H42" t="s">
        <v>42</v>
      </c>
      <c r="I42" t="s">
        <v>51</v>
      </c>
      <c r="J42" t="s">
        <v>1650</v>
      </c>
    </row>
    <row r="43" spans="1:10" x14ac:dyDescent="0.2">
      <c r="A43">
        <v>0</v>
      </c>
      <c r="B43">
        <v>5.7509170153944802E-9</v>
      </c>
      <c r="C43">
        <v>2</v>
      </c>
      <c r="D43">
        <v>3759</v>
      </c>
      <c r="E43" t="s">
        <v>674</v>
      </c>
      <c r="F43" t="s">
        <v>675</v>
      </c>
      <c r="G43">
        <v>1.6562641004336101E-6</v>
      </c>
      <c r="H43" t="s">
        <v>42</v>
      </c>
      <c r="I43" t="s">
        <v>51</v>
      </c>
      <c r="J43" t="s">
        <v>1650</v>
      </c>
    </row>
    <row r="44" spans="1:10" x14ac:dyDescent="0.2">
      <c r="A44">
        <v>0</v>
      </c>
      <c r="B44">
        <v>3.8310993131521598E-5</v>
      </c>
      <c r="C44">
        <v>3</v>
      </c>
      <c r="D44">
        <v>85</v>
      </c>
      <c r="E44" t="s">
        <v>676</v>
      </c>
      <c r="F44" t="s">
        <v>677</v>
      </c>
      <c r="G44">
        <v>2.3446327796491201E-3</v>
      </c>
      <c r="H44" t="s">
        <v>42</v>
      </c>
      <c r="I44" t="s">
        <v>51</v>
      </c>
      <c r="J44" t="s">
        <v>1650</v>
      </c>
    </row>
    <row r="45" spans="1:10" x14ac:dyDescent="0.2">
      <c r="A45">
        <v>0</v>
      </c>
      <c r="B45">
        <v>4.1807094136887197E-6</v>
      </c>
      <c r="C45">
        <v>4</v>
      </c>
      <c r="D45">
        <v>376</v>
      </c>
      <c r="E45" t="s">
        <v>68</v>
      </c>
      <c r="F45" t="s">
        <v>69</v>
      </c>
      <c r="G45">
        <v>3.6551345159678501E-4</v>
      </c>
      <c r="H45" t="s">
        <v>42</v>
      </c>
      <c r="I45" t="s">
        <v>51</v>
      </c>
      <c r="J45" t="s">
        <v>1650</v>
      </c>
    </row>
    <row r="46" spans="1:10" x14ac:dyDescent="0.2">
      <c r="A46">
        <v>0</v>
      </c>
      <c r="B46">
        <v>1.4083509759350201E-4</v>
      </c>
      <c r="C46">
        <v>5</v>
      </c>
      <c r="D46">
        <v>487</v>
      </c>
      <c r="E46" t="s">
        <v>678</v>
      </c>
      <c r="F46" t="s">
        <v>679</v>
      </c>
      <c r="G46">
        <v>6.5669394077884401E-3</v>
      </c>
      <c r="H46" t="s">
        <v>42</v>
      </c>
      <c r="I46" t="s">
        <v>51</v>
      </c>
      <c r="J46" t="s">
        <v>1650</v>
      </c>
    </row>
    <row r="47" spans="1:10" x14ac:dyDescent="0.2">
      <c r="A47">
        <v>0</v>
      </c>
      <c r="B47">
        <v>1.81247211836139E-3</v>
      </c>
      <c r="C47">
        <v>2</v>
      </c>
      <c r="D47">
        <v>117</v>
      </c>
      <c r="E47" t="s">
        <v>680</v>
      </c>
      <c r="F47" t="s">
        <v>681</v>
      </c>
      <c r="G47">
        <v>4.9063069330174097E-2</v>
      </c>
      <c r="H47" t="s">
        <v>42</v>
      </c>
      <c r="I47" t="s">
        <v>51</v>
      </c>
      <c r="J47" t="s">
        <v>1650</v>
      </c>
    </row>
    <row r="48" spans="1:10" x14ac:dyDescent="0.2">
      <c r="A48">
        <v>0</v>
      </c>
      <c r="B48">
        <v>2.68287634026804E-5</v>
      </c>
      <c r="C48">
        <v>3</v>
      </c>
      <c r="D48">
        <v>159</v>
      </c>
      <c r="E48" t="s">
        <v>70</v>
      </c>
      <c r="F48" t="s">
        <v>365</v>
      </c>
      <c r="G48">
        <v>1.77504899485842E-3</v>
      </c>
      <c r="H48" t="s">
        <v>42</v>
      </c>
      <c r="I48" t="s">
        <v>51</v>
      </c>
      <c r="J48" t="s">
        <v>1650</v>
      </c>
    </row>
    <row r="49" spans="1:10" x14ac:dyDescent="0.2">
      <c r="A49">
        <v>0</v>
      </c>
      <c r="B49">
        <v>1.34999921848227E-6</v>
      </c>
      <c r="C49">
        <v>3</v>
      </c>
      <c r="D49">
        <v>638</v>
      </c>
      <c r="E49" t="s">
        <v>130</v>
      </c>
      <c r="F49" t="s">
        <v>131</v>
      </c>
      <c r="G49">
        <v>1.46987749355409E-4</v>
      </c>
      <c r="H49" t="s">
        <v>42</v>
      </c>
      <c r="I49" t="s">
        <v>51</v>
      </c>
      <c r="J49" t="s">
        <v>1657</v>
      </c>
    </row>
    <row r="50" spans="1:10" x14ac:dyDescent="0.2">
      <c r="A50">
        <v>0</v>
      </c>
      <c r="B50">
        <v>1.78163697915348E-9</v>
      </c>
      <c r="C50">
        <v>2</v>
      </c>
      <c r="D50">
        <v>2777</v>
      </c>
      <c r="E50" t="s">
        <v>11</v>
      </c>
      <c r="F50" t="s">
        <v>12</v>
      </c>
      <c r="G50">
        <v>5.5803394758001301E-7</v>
      </c>
      <c r="H50" t="s">
        <v>42</v>
      </c>
      <c r="I50" t="s">
        <v>51</v>
      </c>
      <c r="J50" t="s">
        <v>1650</v>
      </c>
    </row>
    <row r="51" spans="1:10" x14ac:dyDescent="0.2">
      <c r="A51">
        <v>0</v>
      </c>
      <c r="B51">
        <v>1.84907318592348E-6</v>
      </c>
      <c r="C51">
        <v>2</v>
      </c>
      <c r="D51">
        <v>893</v>
      </c>
      <c r="E51" t="s">
        <v>13</v>
      </c>
      <c r="F51" t="s">
        <v>14</v>
      </c>
      <c r="G51">
        <v>1.88605464964195E-4</v>
      </c>
      <c r="H51" t="s">
        <v>42</v>
      </c>
      <c r="I51" t="s">
        <v>51</v>
      </c>
      <c r="J51" t="s">
        <v>1657</v>
      </c>
    </row>
    <row r="52" spans="1:10" x14ac:dyDescent="0.2">
      <c r="A52">
        <v>0</v>
      </c>
      <c r="B52">
        <v>4.5677099025262501E-5</v>
      </c>
      <c r="C52">
        <v>2</v>
      </c>
      <c r="D52">
        <v>691</v>
      </c>
      <c r="E52" t="s">
        <v>134</v>
      </c>
      <c r="F52" t="s">
        <v>135</v>
      </c>
      <c r="G52">
        <v>2.7609268744158699E-3</v>
      </c>
      <c r="H52" t="s">
        <v>42</v>
      </c>
      <c r="I52" t="s">
        <v>51</v>
      </c>
      <c r="J52" t="s">
        <v>1657</v>
      </c>
    </row>
    <row r="53" spans="1:10" x14ac:dyDescent="0.2">
      <c r="A53">
        <v>0</v>
      </c>
      <c r="B53">
        <v>9.5011483607910407E-5</v>
      </c>
      <c r="C53">
        <v>2</v>
      </c>
      <c r="D53">
        <v>72</v>
      </c>
      <c r="E53" t="s">
        <v>136</v>
      </c>
      <c r="F53" t="s">
        <v>137</v>
      </c>
      <c r="G53">
        <v>4.8455856640034298E-3</v>
      </c>
      <c r="H53" t="s">
        <v>42</v>
      </c>
      <c r="I53" t="s">
        <v>51</v>
      </c>
      <c r="J53" t="s">
        <v>1650</v>
      </c>
    </row>
    <row r="54" spans="1:10" x14ac:dyDescent="0.2">
      <c r="A54">
        <v>0</v>
      </c>
      <c r="B54">
        <v>7.4090732206039104E-5</v>
      </c>
      <c r="C54">
        <v>2</v>
      </c>
      <c r="D54">
        <v>1959</v>
      </c>
      <c r="E54" t="s">
        <v>140</v>
      </c>
      <c r="F54" t="s">
        <v>141</v>
      </c>
      <c r="G54">
        <v>4.0758227514692998E-3</v>
      </c>
      <c r="H54" t="s">
        <v>42</v>
      </c>
      <c r="I54" t="s">
        <v>51</v>
      </c>
      <c r="J54" t="s">
        <v>1650</v>
      </c>
    </row>
    <row r="55" spans="1:10" x14ac:dyDescent="0.2">
      <c r="A55">
        <v>0</v>
      </c>
      <c r="B55">
        <v>1.43731728046658E-4</v>
      </c>
      <c r="C55">
        <v>2</v>
      </c>
      <c r="D55">
        <v>259</v>
      </c>
      <c r="E55" t="s">
        <v>682</v>
      </c>
      <c r="F55" t="s">
        <v>683</v>
      </c>
      <c r="G55">
        <v>6.6387786841173397E-3</v>
      </c>
      <c r="H55" t="s">
        <v>42</v>
      </c>
      <c r="I55" t="s">
        <v>51</v>
      </c>
      <c r="J55" t="s">
        <v>1650</v>
      </c>
    </row>
    <row r="56" spans="1:10" x14ac:dyDescent="0.2">
      <c r="A56">
        <v>0</v>
      </c>
      <c r="B56">
        <v>1.01289422444926E-3</v>
      </c>
      <c r="C56">
        <v>2</v>
      </c>
      <c r="D56">
        <v>52</v>
      </c>
      <c r="E56" t="s">
        <v>684</v>
      </c>
      <c r="F56" t="s">
        <v>685</v>
      </c>
      <c r="G56">
        <v>3.1812597140006997E-2</v>
      </c>
      <c r="H56" t="s">
        <v>42</v>
      </c>
      <c r="I56" t="s">
        <v>51</v>
      </c>
      <c r="J56" t="s">
        <v>1650</v>
      </c>
    </row>
    <row r="57" spans="1:10" x14ac:dyDescent="0.2">
      <c r="A57">
        <v>0</v>
      </c>
      <c r="B57">
        <v>1.3202784622497899E-6</v>
      </c>
      <c r="C57">
        <v>2</v>
      </c>
      <c r="D57">
        <v>756</v>
      </c>
      <c r="E57" t="s">
        <v>148</v>
      </c>
      <c r="F57" t="s">
        <v>149</v>
      </c>
      <c r="G57">
        <v>1.46987749355409E-4</v>
      </c>
      <c r="H57" t="s">
        <v>42</v>
      </c>
      <c r="I57" t="s">
        <v>51</v>
      </c>
      <c r="J57" t="s">
        <v>1655</v>
      </c>
    </row>
    <row r="58" spans="1:10" x14ac:dyDescent="0.2">
      <c r="A58">
        <v>0</v>
      </c>
      <c r="B58">
        <v>1.0912538501363399E-4</v>
      </c>
      <c r="C58">
        <v>2</v>
      </c>
      <c r="D58">
        <v>1887</v>
      </c>
      <c r="E58" t="s">
        <v>686</v>
      </c>
      <c r="F58" t="s">
        <v>687</v>
      </c>
      <c r="G58">
        <v>5.23801848065443E-3</v>
      </c>
      <c r="H58" t="s">
        <v>42</v>
      </c>
      <c r="I58" t="s">
        <v>51</v>
      </c>
      <c r="J58" t="s">
        <v>1650</v>
      </c>
    </row>
    <row r="59" spans="1:10" x14ac:dyDescent="0.2">
      <c r="A59">
        <v>0</v>
      </c>
      <c r="B59">
        <v>1.55488049833517E-3</v>
      </c>
      <c r="C59">
        <v>4</v>
      </c>
      <c r="D59">
        <v>16</v>
      </c>
      <c r="E59" t="s">
        <v>688</v>
      </c>
      <c r="F59" t="s">
        <v>689</v>
      </c>
      <c r="G59">
        <v>4.27095914810839E-2</v>
      </c>
      <c r="H59" t="s">
        <v>42</v>
      </c>
      <c r="I59" t="s">
        <v>51</v>
      </c>
      <c r="J59" t="s">
        <v>1650</v>
      </c>
    </row>
    <row r="60" spans="1:10" x14ac:dyDescent="0.2">
      <c r="A60">
        <v>0</v>
      </c>
      <c r="B60">
        <v>9.9493967825663794E-4</v>
      </c>
      <c r="C60">
        <v>2</v>
      </c>
      <c r="D60">
        <v>662</v>
      </c>
      <c r="E60" t="s">
        <v>156</v>
      </c>
      <c r="F60" t="s">
        <v>157</v>
      </c>
      <c r="G60">
        <v>3.1812597140006997E-2</v>
      </c>
      <c r="H60" t="s">
        <v>42</v>
      </c>
      <c r="I60" t="s">
        <v>51</v>
      </c>
      <c r="J60" t="s">
        <v>1655</v>
      </c>
    </row>
    <row r="61" spans="1:10" x14ac:dyDescent="0.2">
      <c r="A61">
        <v>0</v>
      </c>
      <c r="B61">
        <v>1.05706683435181E-3</v>
      </c>
      <c r="C61">
        <v>2</v>
      </c>
      <c r="D61">
        <v>78</v>
      </c>
      <c r="E61" t="s">
        <v>690</v>
      </c>
      <c r="F61" t="s">
        <v>691</v>
      </c>
      <c r="G61">
        <v>3.2346245131165401E-2</v>
      </c>
      <c r="H61" t="s">
        <v>42</v>
      </c>
      <c r="I61" t="s">
        <v>51</v>
      </c>
      <c r="J61" t="s">
        <v>1650</v>
      </c>
    </row>
    <row r="62" spans="1:10" x14ac:dyDescent="0.2">
      <c r="A62">
        <v>0</v>
      </c>
      <c r="B62">
        <v>8.7230991729318394E-5</v>
      </c>
      <c r="C62">
        <v>2</v>
      </c>
      <c r="D62">
        <v>181</v>
      </c>
      <c r="E62" t="s">
        <v>692</v>
      </c>
      <c r="F62" t="s">
        <v>693</v>
      </c>
      <c r="G62">
        <v>4.5922896291047599E-3</v>
      </c>
      <c r="H62" t="s">
        <v>42</v>
      </c>
      <c r="I62" t="s">
        <v>51</v>
      </c>
      <c r="J62" t="s">
        <v>1650</v>
      </c>
    </row>
    <row r="63" spans="1:10" x14ac:dyDescent="0.2">
      <c r="A63">
        <v>0</v>
      </c>
      <c r="B63">
        <v>9.5127510835511298E-4</v>
      </c>
      <c r="C63">
        <v>2</v>
      </c>
      <c r="D63">
        <v>30</v>
      </c>
      <c r="E63" t="s">
        <v>694</v>
      </c>
      <c r="F63" t="s">
        <v>695</v>
      </c>
      <c r="G63">
        <v>3.0843992917262499E-2</v>
      </c>
      <c r="H63" t="s">
        <v>42</v>
      </c>
      <c r="I63" t="s">
        <v>51</v>
      </c>
      <c r="J63" t="s">
        <v>1657</v>
      </c>
    </row>
    <row r="64" spans="1:10" x14ac:dyDescent="0.2">
      <c r="A64">
        <v>0</v>
      </c>
      <c r="B64">
        <v>7.3956399967518997E-10</v>
      </c>
      <c r="C64">
        <v>2</v>
      </c>
      <c r="D64">
        <v>1538</v>
      </c>
      <c r="E64" t="s">
        <v>370</v>
      </c>
      <c r="F64" t="s">
        <v>371</v>
      </c>
      <c r="G64">
        <v>3.2917321294633902E-7</v>
      </c>
      <c r="H64" t="s">
        <v>42</v>
      </c>
      <c r="I64" t="s">
        <v>51</v>
      </c>
      <c r="J64" t="s">
        <v>1650</v>
      </c>
    </row>
    <row r="65" spans="1:10" x14ac:dyDescent="0.2">
      <c r="A65">
        <v>0</v>
      </c>
      <c r="B65">
        <v>1.0331296865320899E-3</v>
      </c>
      <c r="C65">
        <v>5</v>
      </c>
      <c r="D65">
        <v>14</v>
      </c>
      <c r="E65" t="s">
        <v>696</v>
      </c>
      <c r="F65" t="s">
        <v>697</v>
      </c>
      <c r="G65">
        <v>3.1812597140006997E-2</v>
      </c>
      <c r="H65" t="s">
        <v>42</v>
      </c>
      <c r="I65" t="s">
        <v>51</v>
      </c>
      <c r="J65" t="s">
        <v>1650</v>
      </c>
    </row>
    <row r="66" spans="1:10" x14ac:dyDescent="0.2">
      <c r="A66">
        <v>0</v>
      </c>
      <c r="B66">
        <v>1.0795495802504199E-3</v>
      </c>
      <c r="C66">
        <v>4</v>
      </c>
      <c r="D66">
        <v>31</v>
      </c>
      <c r="E66" t="s">
        <v>698</v>
      </c>
      <c r="F66" t="s">
        <v>699</v>
      </c>
      <c r="G66">
        <v>3.28290356826463E-2</v>
      </c>
      <c r="H66" t="s">
        <v>42</v>
      </c>
      <c r="I66" t="s">
        <v>51</v>
      </c>
      <c r="J66" t="s">
        <v>1650</v>
      </c>
    </row>
    <row r="67" spans="1:10" x14ac:dyDescent="0.2">
      <c r="A67">
        <v>0</v>
      </c>
      <c r="B67">
        <v>2.0008996718658001E-4</v>
      </c>
      <c r="C67">
        <v>2</v>
      </c>
      <c r="D67">
        <v>81</v>
      </c>
      <c r="E67" t="s">
        <v>700</v>
      </c>
      <c r="F67" t="s">
        <v>701</v>
      </c>
      <c r="G67">
        <v>8.5933375381183792E-3</v>
      </c>
      <c r="H67" t="s">
        <v>42</v>
      </c>
      <c r="I67" t="s">
        <v>51</v>
      </c>
      <c r="J67" t="s">
        <v>1659</v>
      </c>
    </row>
    <row r="68" spans="1:10" x14ac:dyDescent="0.2">
      <c r="A68">
        <v>0</v>
      </c>
      <c r="B68">
        <v>7.0039381107276798E-4</v>
      </c>
      <c r="C68">
        <v>3</v>
      </c>
      <c r="D68">
        <v>48</v>
      </c>
      <c r="E68" t="s">
        <v>702</v>
      </c>
      <c r="F68" t="s">
        <v>703</v>
      </c>
      <c r="G68">
        <v>2.3813389576474098E-2</v>
      </c>
      <c r="H68" t="s">
        <v>42</v>
      </c>
      <c r="I68" t="s">
        <v>51</v>
      </c>
      <c r="J68" t="s">
        <v>1650</v>
      </c>
    </row>
    <row r="69" spans="1:10" x14ac:dyDescent="0.2">
      <c r="A69">
        <v>0</v>
      </c>
      <c r="B69">
        <v>7.0419253575567395E-5</v>
      </c>
      <c r="C69">
        <v>2</v>
      </c>
      <c r="D69">
        <v>1651</v>
      </c>
      <c r="E69" t="s">
        <v>15</v>
      </c>
      <c r="F69" t="s">
        <v>16</v>
      </c>
      <c r="G69">
        <v>3.9178711989315699E-3</v>
      </c>
      <c r="H69" t="s">
        <v>42</v>
      </c>
      <c r="I69" t="s">
        <v>51</v>
      </c>
      <c r="J69" t="s">
        <v>1650</v>
      </c>
    </row>
    <row r="70" spans="1:10" x14ac:dyDescent="0.2">
      <c r="A70">
        <v>0</v>
      </c>
      <c r="B70">
        <v>1.0331296865320899E-3</v>
      </c>
      <c r="C70">
        <v>3</v>
      </c>
      <c r="D70">
        <v>14</v>
      </c>
      <c r="E70" t="s">
        <v>704</v>
      </c>
      <c r="F70" t="s">
        <v>705</v>
      </c>
      <c r="G70">
        <v>3.1812597140006997E-2</v>
      </c>
      <c r="H70" t="s">
        <v>42</v>
      </c>
      <c r="I70" t="s">
        <v>51</v>
      </c>
      <c r="J70" t="s">
        <v>1650</v>
      </c>
    </row>
    <row r="71" spans="1:10" x14ac:dyDescent="0.2">
      <c r="A71">
        <v>0</v>
      </c>
      <c r="B71">
        <v>1.03243022895438E-13</v>
      </c>
      <c r="C71">
        <v>5</v>
      </c>
      <c r="D71">
        <v>3616</v>
      </c>
      <c r="E71" t="s">
        <v>19</v>
      </c>
      <c r="F71" t="s">
        <v>20</v>
      </c>
      <c r="G71">
        <v>1.6849261336535501E-10</v>
      </c>
      <c r="H71" t="s">
        <v>42</v>
      </c>
      <c r="I71" t="s">
        <v>51</v>
      </c>
      <c r="J71" t="s">
        <v>1650</v>
      </c>
    </row>
    <row r="72" spans="1:10" x14ac:dyDescent="0.2">
      <c r="A72">
        <v>0</v>
      </c>
      <c r="B72">
        <v>1.6382532322762201E-5</v>
      </c>
      <c r="C72">
        <v>2</v>
      </c>
      <c r="D72">
        <v>948</v>
      </c>
      <c r="E72" t="s">
        <v>72</v>
      </c>
      <c r="F72" t="s">
        <v>73</v>
      </c>
      <c r="G72">
        <v>1.1971474366006499E-3</v>
      </c>
      <c r="H72" t="s">
        <v>42</v>
      </c>
      <c r="I72" t="s">
        <v>51</v>
      </c>
      <c r="J72" t="s">
        <v>1650</v>
      </c>
    </row>
    <row r="73" spans="1:10" x14ac:dyDescent="0.2">
      <c r="A73">
        <v>0</v>
      </c>
      <c r="B73">
        <v>5.87746426736628E-8</v>
      </c>
      <c r="C73">
        <v>3</v>
      </c>
      <c r="D73">
        <v>2409</v>
      </c>
      <c r="E73" t="s">
        <v>21</v>
      </c>
      <c r="F73" t="s">
        <v>22</v>
      </c>
      <c r="G73">
        <v>9.9227810527673496E-6</v>
      </c>
      <c r="H73" t="s">
        <v>42</v>
      </c>
      <c r="I73" t="s">
        <v>51</v>
      </c>
      <c r="J73" t="s">
        <v>1650</v>
      </c>
    </row>
    <row r="74" spans="1:10" x14ac:dyDescent="0.2">
      <c r="A74">
        <v>0</v>
      </c>
      <c r="B74">
        <v>1.1353320401992999E-9</v>
      </c>
      <c r="C74">
        <v>5</v>
      </c>
      <c r="D74">
        <v>1864</v>
      </c>
      <c r="E74" t="s">
        <v>566</v>
      </c>
      <c r="F74" t="s">
        <v>75</v>
      </c>
      <c r="G74">
        <v>4.2758351298582899E-7</v>
      </c>
      <c r="H74" t="s">
        <v>42</v>
      </c>
      <c r="I74" t="s">
        <v>51</v>
      </c>
      <c r="J74" t="s">
        <v>1650</v>
      </c>
    </row>
    <row r="75" spans="1:10" x14ac:dyDescent="0.2">
      <c r="A75">
        <v>0</v>
      </c>
      <c r="B75">
        <v>6.0414263093980597E-6</v>
      </c>
      <c r="C75">
        <v>2</v>
      </c>
      <c r="D75">
        <v>692</v>
      </c>
      <c r="E75" t="s">
        <v>76</v>
      </c>
      <c r="F75" t="s">
        <v>77</v>
      </c>
      <c r="G75">
        <v>4.9907822083726299E-4</v>
      </c>
      <c r="H75" t="s">
        <v>42</v>
      </c>
      <c r="I75" t="s">
        <v>51</v>
      </c>
      <c r="J75" t="s">
        <v>1650</v>
      </c>
    </row>
    <row r="76" spans="1:10" x14ac:dyDescent="0.2">
      <c r="A76">
        <v>0</v>
      </c>
      <c r="B76">
        <v>1.2194828441756699E-3</v>
      </c>
      <c r="C76">
        <v>7</v>
      </c>
      <c r="D76">
        <v>32</v>
      </c>
      <c r="E76" t="s">
        <v>706</v>
      </c>
      <c r="F76" t="s">
        <v>707</v>
      </c>
      <c r="G76">
        <v>3.6203997271684198E-2</v>
      </c>
      <c r="H76" t="s">
        <v>42</v>
      </c>
      <c r="I76" t="s">
        <v>51</v>
      </c>
      <c r="J76" t="s">
        <v>1650</v>
      </c>
    </row>
    <row r="77" spans="1:10" x14ac:dyDescent="0.2">
      <c r="A77">
        <v>0</v>
      </c>
      <c r="B77">
        <v>6.1161546671233203E-6</v>
      </c>
      <c r="C77">
        <v>2</v>
      </c>
      <c r="D77">
        <v>422</v>
      </c>
      <c r="E77" t="s">
        <v>708</v>
      </c>
      <c r="F77" t="s">
        <v>709</v>
      </c>
      <c r="G77">
        <v>4.9907822083726299E-4</v>
      </c>
      <c r="H77" t="s">
        <v>42</v>
      </c>
      <c r="I77" t="s">
        <v>51</v>
      </c>
      <c r="J77" t="s">
        <v>1650</v>
      </c>
    </row>
    <row r="78" spans="1:10" x14ac:dyDescent="0.2">
      <c r="A78">
        <v>0</v>
      </c>
      <c r="B78">
        <v>8.8717745314856796E-9</v>
      </c>
      <c r="C78">
        <v>2</v>
      </c>
      <c r="D78">
        <v>1054</v>
      </c>
      <c r="E78" t="s">
        <v>710</v>
      </c>
      <c r="F78" t="s">
        <v>588</v>
      </c>
      <c r="G78">
        <v>2.4131226725641099E-6</v>
      </c>
      <c r="H78" t="s">
        <v>42</v>
      </c>
      <c r="I78" t="s">
        <v>51</v>
      </c>
      <c r="J78" t="s">
        <v>1650</v>
      </c>
    </row>
    <row r="79" spans="1:10" x14ac:dyDescent="0.2">
      <c r="A79">
        <v>0</v>
      </c>
      <c r="B79">
        <v>1.79201578598599E-18</v>
      </c>
      <c r="C79">
        <v>2</v>
      </c>
      <c r="D79">
        <v>2484</v>
      </c>
      <c r="E79" t="s">
        <v>80</v>
      </c>
      <c r="F79" t="s">
        <v>81</v>
      </c>
      <c r="G79">
        <v>8.7737092881874103E-15</v>
      </c>
      <c r="H79" t="s">
        <v>42</v>
      </c>
      <c r="I79" t="s">
        <v>51</v>
      </c>
      <c r="J79" t="s">
        <v>1650</v>
      </c>
    </row>
    <row r="80" spans="1:10" x14ac:dyDescent="0.2">
      <c r="A80">
        <v>0</v>
      </c>
      <c r="B80">
        <v>2.7690209937676801E-8</v>
      </c>
      <c r="C80">
        <v>2</v>
      </c>
      <c r="D80">
        <v>456</v>
      </c>
      <c r="E80" t="s">
        <v>172</v>
      </c>
      <c r="F80" t="s">
        <v>173</v>
      </c>
      <c r="G80">
        <v>5.6488028272860704E-6</v>
      </c>
      <c r="H80" t="s">
        <v>42</v>
      </c>
      <c r="I80" t="s">
        <v>51</v>
      </c>
      <c r="J80" t="s">
        <v>1650</v>
      </c>
    </row>
    <row r="81" spans="1:10" x14ac:dyDescent="0.2">
      <c r="A81">
        <v>0</v>
      </c>
      <c r="B81">
        <v>3.0139202850511297E-4</v>
      </c>
      <c r="C81">
        <v>3</v>
      </c>
      <c r="D81">
        <v>1406</v>
      </c>
      <c r="E81" t="s">
        <v>711</v>
      </c>
      <c r="F81" t="s">
        <v>712</v>
      </c>
      <c r="G81">
        <v>1.1996872939520601E-2</v>
      </c>
      <c r="H81" t="s">
        <v>42</v>
      </c>
      <c r="I81" t="s">
        <v>51</v>
      </c>
      <c r="J81" t="s">
        <v>1650</v>
      </c>
    </row>
    <row r="82" spans="1:10" x14ac:dyDescent="0.2">
      <c r="A82">
        <v>0</v>
      </c>
      <c r="B82">
        <v>1.5365245792688699E-3</v>
      </c>
      <c r="C82">
        <v>3</v>
      </c>
      <c r="D82">
        <v>34</v>
      </c>
      <c r="E82" t="s">
        <v>713</v>
      </c>
      <c r="F82" t="s">
        <v>714</v>
      </c>
      <c r="G82">
        <v>4.27095914810839E-2</v>
      </c>
      <c r="H82" t="s">
        <v>42</v>
      </c>
      <c r="I82" t="s">
        <v>51</v>
      </c>
      <c r="J82" t="s">
        <v>1650</v>
      </c>
    </row>
    <row r="83" spans="1:10" x14ac:dyDescent="0.2">
      <c r="A83">
        <v>0</v>
      </c>
      <c r="B83">
        <v>1.8682126589875399E-4</v>
      </c>
      <c r="C83">
        <v>2</v>
      </c>
      <c r="D83">
        <v>231</v>
      </c>
      <c r="E83" t="s">
        <v>715</v>
      </c>
      <c r="F83" t="s">
        <v>716</v>
      </c>
      <c r="G83">
        <v>8.2403325931558503E-3</v>
      </c>
      <c r="H83" t="s">
        <v>42</v>
      </c>
      <c r="I83" t="s">
        <v>51</v>
      </c>
      <c r="J83" t="s">
        <v>1650</v>
      </c>
    </row>
    <row r="84" spans="1:10" x14ac:dyDescent="0.2">
      <c r="A84">
        <v>0</v>
      </c>
      <c r="B84">
        <v>3.3433840453293498E-4</v>
      </c>
      <c r="C84">
        <v>-1</v>
      </c>
      <c r="D84">
        <v>88</v>
      </c>
      <c r="E84" t="s">
        <v>717</v>
      </c>
      <c r="F84" t="s">
        <v>718</v>
      </c>
      <c r="G84">
        <v>1.3095366628746E-2</v>
      </c>
      <c r="H84" t="s">
        <v>42</v>
      </c>
      <c r="I84" t="s">
        <v>51</v>
      </c>
      <c r="J84" t="s">
        <v>1650</v>
      </c>
    </row>
    <row r="85" spans="1:10" x14ac:dyDescent="0.2">
      <c r="A85">
        <v>0</v>
      </c>
      <c r="B85">
        <v>1.3618139834284401E-6</v>
      </c>
      <c r="C85">
        <v>5</v>
      </c>
      <c r="D85">
        <v>94</v>
      </c>
      <c r="E85" t="s">
        <v>719</v>
      </c>
      <c r="F85" t="s">
        <v>720</v>
      </c>
      <c r="G85">
        <v>1.46987749355409E-4</v>
      </c>
      <c r="H85" t="s">
        <v>42</v>
      </c>
      <c r="I85" t="s">
        <v>51</v>
      </c>
      <c r="J85" t="s">
        <v>1650</v>
      </c>
    </row>
    <row r="86" spans="1:10" x14ac:dyDescent="0.2">
      <c r="A86">
        <v>0</v>
      </c>
      <c r="B86">
        <v>1.2772938445214199E-3</v>
      </c>
      <c r="C86">
        <v>2</v>
      </c>
      <c r="D86">
        <v>15</v>
      </c>
      <c r="E86" t="s">
        <v>721</v>
      </c>
      <c r="F86" t="s">
        <v>722</v>
      </c>
      <c r="G86">
        <v>3.7446890196268699E-2</v>
      </c>
      <c r="H86" t="s">
        <v>42</v>
      </c>
      <c r="I86" t="s">
        <v>51</v>
      </c>
      <c r="J86" t="s">
        <v>1650</v>
      </c>
    </row>
    <row r="87" spans="1:10" x14ac:dyDescent="0.2">
      <c r="A87">
        <v>0</v>
      </c>
      <c r="B87">
        <v>4.5414776155224601E-10</v>
      </c>
      <c r="C87">
        <v>2</v>
      </c>
      <c r="D87">
        <v>3133</v>
      </c>
      <c r="E87" t="s">
        <v>174</v>
      </c>
      <c r="F87" t="s">
        <v>175</v>
      </c>
      <c r="G87">
        <v>2.4705638228442201E-7</v>
      </c>
      <c r="H87" t="s">
        <v>42</v>
      </c>
      <c r="I87" t="s">
        <v>51</v>
      </c>
      <c r="J87" t="s">
        <v>1650</v>
      </c>
    </row>
    <row r="88" spans="1:10" x14ac:dyDescent="0.2">
      <c r="A88">
        <v>0</v>
      </c>
      <c r="B88">
        <v>7.7490036017911403E-6</v>
      </c>
      <c r="C88">
        <v>2</v>
      </c>
      <c r="D88">
        <v>581</v>
      </c>
      <c r="E88" t="s">
        <v>176</v>
      </c>
      <c r="F88" t="s">
        <v>177</v>
      </c>
      <c r="G88">
        <v>6.2195281367818695E-4</v>
      </c>
      <c r="H88" t="s">
        <v>42</v>
      </c>
      <c r="I88" t="s">
        <v>51</v>
      </c>
      <c r="J88" t="s">
        <v>1650</v>
      </c>
    </row>
    <row r="89" spans="1:10" x14ac:dyDescent="0.2">
      <c r="A89">
        <v>0</v>
      </c>
      <c r="B89">
        <v>1.0331296865320899E-3</v>
      </c>
      <c r="C89">
        <v>3</v>
      </c>
      <c r="D89">
        <v>14</v>
      </c>
      <c r="E89" t="s">
        <v>723</v>
      </c>
      <c r="F89" t="s">
        <v>724</v>
      </c>
      <c r="G89">
        <v>3.1812597140006997E-2</v>
      </c>
      <c r="H89" t="s">
        <v>42</v>
      </c>
      <c r="I89" t="s">
        <v>51</v>
      </c>
      <c r="J89" t="s">
        <v>1650</v>
      </c>
    </row>
    <row r="90" spans="1:10" x14ac:dyDescent="0.2">
      <c r="A90">
        <v>0</v>
      </c>
      <c r="B90">
        <v>1.91056720322412E-10</v>
      </c>
      <c r="C90">
        <v>2</v>
      </c>
      <c r="D90">
        <v>3675</v>
      </c>
      <c r="E90" t="s">
        <v>382</v>
      </c>
      <c r="F90" t="s">
        <v>383</v>
      </c>
      <c r="G90">
        <v>1.3363052895693301E-7</v>
      </c>
      <c r="H90" t="s">
        <v>42</v>
      </c>
      <c r="I90" t="s">
        <v>51</v>
      </c>
      <c r="J90" t="s">
        <v>1658</v>
      </c>
    </row>
    <row r="91" spans="1:10" x14ac:dyDescent="0.2">
      <c r="A91">
        <v>0</v>
      </c>
      <c r="B91">
        <v>1.39269554724937E-6</v>
      </c>
      <c r="C91">
        <v>4</v>
      </c>
      <c r="D91">
        <v>758</v>
      </c>
      <c r="E91" t="s">
        <v>725</v>
      </c>
      <c r="F91" t="s">
        <v>726</v>
      </c>
      <c r="G91">
        <v>1.46987749355409E-4</v>
      </c>
      <c r="H91" t="s">
        <v>42</v>
      </c>
      <c r="I91" t="s">
        <v>51</v>
      </c>
      <c r="J91" t="s">
        <v>1650</v>
      </c>
    </row>
    <row r="92" spans="1:10" x14ac:dyDescent="0.2">
      <c r="A92">
        <v>0</v>
      </c>
      <c r="B92">
        <v>6.0267017280418904E-7</v>
      </c>
      <c r="C92">
        <v>2</v>
      </c>
      <c r="D92">
        <v>848</v>
      </c>
      <c r="E92" t="s">
        <v>727</v>
      </c>
      <c r="F92" t="s">
        <v>728</v>
      </c>
      <c r="G92">
        <v>7.7649293843402899E-5</v>
      </c>
      <c r="H92" t="s">
        <v>42</v>
      </c>
      <c r="I92" t="s">
        <v>51</v>
      </c>
      <c r="J92" t="s">
        <v>1650</v>
      </c>
    </row>
    <row r="93" spans="1:10" x14ac:dyDescent="0.2">
      <c r="A93">
        <v>0</v>
      </c>
      <c r="B93">
        <v>1.82383141709389E-3</v>
      </c>
      <c r="C93">
        <v>5</v>
      </c>
      <c r="D93">
        <v>185</v>
      </c>
      <c r="E93" t="s">
        <v>729</v>
      </c>
      <c r="F93" t="s">
        <v>730</v>
      </c>
      <c r="G93">
        <v>4.9063069330174097E-2</v>
      </c>
      <c r="H93" t="s">
        <v>42</v>
      </c>
      <c r="I93" t="s">
        <v>51</v>
      </c>
      <c r="J93" t="s">
        <v>1650</v>
      </c>
    </row>
    <row r="94" spans="1:10" x14ac:dyDescent="0.2">
      <c r="A94">
        <v>0</v>
      </c>
      <c r="B94">
        <v>2.3794637512451201E-7</v>
      </c>
      <c r="C94">
        <v>2</v>
      </c>
      <c r="D94">
        <v>2205</v>
      </c>
      <c r="E94" t="s">
        <v>186</v>
      </c>
      <c r="F94" t="s">
        <v>187</v>
      </c>
      <c r="G94">
        <v>3.4264278017929698E-5</v>
      </c>
      <c r="H94" t="s">
        <v>42</v>
      </c>
      <c r="I94" t="s">
        <v>51</v>
      </c>
      <c r="J94" t="s">
        <v>1650</v>
      </c>
    </row>
    <row r="95" spans="1:10" x14ac:dyDescent="0.2">
      <c r="A95">
        <v>0</v>
      </c>
      <c r="B95">
        <v>1.3384165716530099E-3</v>
      </c>
      <c r="C95">
        <v>3</v>
      </c>
      <c r="D95">
        <v>111</v>
      </c>
      <c r="E95" t="s">
        <v>731</v>
      </c>
      <c r="F95" t="s">
        <v>732</v>
      </c>
      <c r="G95">
        <v>3.8774482454515598E-2</v>
      </c>
      <c r="H95" t="s">
        <v>42</v>
      </c>
      <c r="I95" t="s">
        <v>51</v>
      </c>
      <c r="J95" t="s">
        <v>1650</v>
      </c>
    </row>
    <row r="96" spans="1:10" x14ac:dyDescent="0.2">
      <c r="A96">
        <v>0</v>
      </c>
      <c r="B96">
        <v>2.5191650436642501E-4</v>
      </c>
      <c r="C96">
        <v>5</v>
      </c>
      <c r="D96">
        <v>9</v>
      </c>
      <c r="E96" t="s">
        <v>733</v>
      </c>
      <c r="F96" t="s">
        <v>734</v>
      </c>
      <c r="G96">
        <v>1.03645647510758E-2</v>
      </c>
      <c r="H96" t="s">
        <v>42</v>
      </c>
      <c r="I96" t="s">
        <v>51</v>
      </c>
      <c r="J96" t="s">
        <v>1650</v>
      </c>
    </row>
    <row r="97" spans="1:10" x14ac:dyDescent="0.2">
      <c r="A97">
        <v>0</v>
      </c>
      <c r="B97">
        <v>7.66760282077354E-4</v>
      </c>
      <c r="C97">
        <v>3</v>
      </c>
      <c r="D97">
        <v>1791</v>
      </c>
      <c r="E97" t="s">
        <v>735</v>
      </c>
      <c r="F97" t="s">
        <v>736</v>
      </c>
      <c r="G97">
        <v>2.5841755848832498E-2</v>
      </c>
      <c r="H97" t="s">
        <v>42</v>
      </c>
      <c r="I97" t="s">
        <v>51</v>
      </c>
      <c r="J97" t="s">
        <v>1650</v>
      </c>
    </row>
    <row r="98" spans="1:10" x14ac:dyDescent="0.2">
      <c r="A98">
        <v>0</v>
      </c>
      <c r="B98">
        <v>3.3433840453293498E-4</v>
      </c>
      <c r="C98">
        <v>2</v>
      </c>
      <c r="D98">
        <v>88</v>
      </c>
      <c r="E98" t="s">
        <v>737</v>
      </c>
      <c r="F98" t="s">
        <v>738</v>
      </c>
      <c r="G98">
        <v>1.3095366628746E-2</v>
      </c>
      <c r="H98" t="s">
        <v>42</v>
      </c>
      <c r="I98" t="s">
        <v>51</v>
      </c>
      <c r="J98" t="s">
        <v>1650</v>
      </c>
    </row>
    <row r="99" spans="1:10" x14ac:dyDescent="0.2">
      <c r="A99">
        <v>0</v>
      </c>
      <c r="B99">
        <v>1.30756276499861E-3</v>
      </c>
      <c r="C99">
        <v>2</v>
      </c>
      <c r="D99">
        <v>55</v>
      </c>
      <c r="E99" t="s">
        <v>739</v>
      </c>
      <c r="F99" t="s">
        <v>740</v>
      </c>
      <c r="G99">
        <v>3.81061148656738E-2</v>
      </c>
      <c r="H99" t="s">
        <v>42</v>
      </c>
      <c r="I99" t="s">
        <v>51</v>
      </c>
      <c r="J99" t="s">
        <v>1650</v>
      </c>
    </row>
    <row r="100" spans="1:10" x14ac:dyDescent="0.2">
      <c r="A100">
        <v>0</v>
      </c>
      <c r="B100">
        <v>4.8403974583844999E-4</v>
      </c>
      <c r="C100">
        <v>8</v>
      </c>
      <c r="D100">
        <v>11</v>
      </c>
      <c r="E100" t="s">
        <v>741</v>
      </c>
      <c r="F100" t="s">
        <v>742</v>
      </c>
      <c r="G100">
        <v>1.74254308501842E-2</v>
      </c>
      <c r="H100" t="s">
        <v>42</v>
      </c>
      <c r="I100" t="s">
        <v>51</v>
      </c>
      <c r="J100" t="s">
        <v>1650</v>
      </c>
    </row>
    <row r="101" spans="1:10" x14ac:dyDescent="0.2">
      <c r="A101">
        <v>0</v>
      </c>
      <c r="B101">
        <v>1.20430133182423E-5</v>
      </c>
      <c r="C101">
        <v>3</v>
      </c>
      <c r="D101">
        <v>174</v>
      </c>
      <c r="E101" t="s">
        <v>204</v>
      </c>
      <c r="F101" t="s">
        <v>205</v>
      </c>
      <c r="G101">
        <v>9.2129051884553604E-4</v>
      </c>
      <c r="H101" t="s">
        <v>42</v>
      </c>
      <c r="I101" t="s">
        <v>51</v>
      </c>
      <c r="J101" t="s">
        <v>1650</v>
      </c>
    </row>
    <row r="102" spans="1:10" x14ac:dyDescent="0.2">
      <c r="A102">
        <v>0</v>
      </c>
      <c r="B102">
        <v>3.4079897053586502E-7</v>
      </c>
      <c r="C102">
        <v>2</v>
      </c>
      <c r="D102">
        <v>2082</v>
      </c>
      <c r="E102" t="s">
        <v>206</v>
      </c>
      <c r="F102" t="s">
        <v>207</v>
      </c>
      <c r="G102">
        <v>4.6348659992877601E-5</v>
      </c>
      <c r="H102" t="s">
        <v>42</v>
      </c>
      <c r="I102" t="s">
        <v>51</v>
      </c>
      <c r="J102" t="s">
        <v>1658</v>
      </c>
    </row>
    <row r="103" spans="1:10" x14ac:dyDescent="0.2">
      <c r="A103">
        <v>0</v>
      </c>
      <c r="B103">
        <v>5.6149268765010898E-5</v>
      </c>
      <c r="C103">
        <v>3</v>
      </c>
      <c r="D103">
        <v>700</v>
      </c>
      <c r="E103" t="s">
        <v>208</v>
      </c>
      <c r="F103" t="s">
        <v>209</v>
      </c>
      <c r="G103">
        <v>3.3121303599216098E-3</v>
      </c>
      <c r="H103" t="s">
        <v>42</v>
      </c>
      <c r="I103" t="s">
        <v>51</v>
      </c>
      <c r="J103" t="s">
        <v>1658</v>
      </c>
    </row>
    <row r="104" spans="1:10" x14ac:dyDescent="0.2">
      <c r="A104">
        <v>0</v>
      </c>
      <c r="B104">
        <v>1.5614822048843999E-3</v>
      </c>
      <c r="C104">
        <v>3</v>
      </c>
      <c r="D104">
        <v>114</v>
      </c>
      <c r="E104" t="s">
        <v>212</v>
      </c>
      <c r="F104" t="s">
        <v>213</v>
      </c>
      <c r="G104">
        <v>4.27095914810839E-2</v>
      </c>
      <c r="H104" t="s">
        <v>42</v>
      </c>
      <c r="I104" t="s">
        <v>51</v>
      </c>
      <c r="J104" t="s">
        <v>1657</v>
      </c>
    </row>
    <row r="105" spans="1:10" x14ac:dyDescent="0.2">
      <c r="A105">
        <v>0</v>
      </c>
      <c r="B105">
        <v>6.4278584053566699E-4</v>
      </c>
      <c r="C105">
        <v>6</v>
      </c>
      <c r="D105">
        <v>71</v>
      </c>
      <c r="E105" t="s">
        <v>573</v>
      </c>
      <c r="F105" t="s">
        <v>574</v>
      </c>
      <c r="G105">
        <v>2.2162531515934E-2</v>
      </c>
      <c r="H105" t="s">
        <v>42</v>
      </c>
      <c r="I105" t="s">
        <v>51</v>
      </c>
      <c r="J105" t="s">
        <v>1657</v>
      </c>
    </row>
    <row r="106" spans="1:10" x14ac:dyDescent="0.2">
      <c r="A106">
        <v>0</v>
      </c>
      <c r="B106">
        <v>2.93176954322272E-5</v>
      </c>
      <c r="C106">
        <v>2</v>
      </c>
      <c r="D106">
        <v>41</v>
      </c>
      <c r="E106" t="s">
        <v>743</v>
      </c>
      <c r="F106" t="s">
        <v>744</v>
      </c>
      <c r="G106">
        <v>1.9138591578157899E-3</v>
      </c>
      <c r="H106" t="s">
        <v>42</v>
      </c>
      <c r="I106" t="s">
        <v>51</v>
      </c>
      <c r="J106" t="s">
        <v>1650</v>
      </c>
    </row>
    <row r="107" spans="1:10" x14ac:dyDescent="0.2">
      <c r="A107">
        <v>0</v>
      </c>
      <c r="B107">
        <v>1.4110343585997199E-6</v>
      </c>
      <c r="C107">
        <v>3</v>
      </c>
      <c r="D107">
        <v>25</v>
      </c>
      <c r="E107" t="s">
        <v>745</v>
      </c>
      <c r="F107" t="s">
        <v>746</v>
      </c>
      <c r="G107">
        <v>1.46987749355409E-4</v>
      </c>
      <c r="H107" t="s">
        <v>42</v>
      </c>
      <c r="I107" t="s">
        <v>51</v>
      </c>
      <c r="J107" t="s">
        <v>1650</v>
      </c>
    </row>
    <row r="108" spans="1:10" x14ac:dyDescent="0.2">
      <c r="A108">
        <v>0</v>
      </c>
      <c r="B108">
        <v>3.6737232428431699E-4</v>
      </c>
      <c r="C108">
        <v>3</v>
      </c>
      <c r="D108">
        <v>2202</v>
      </c>
      <c r="E108" t="s">
        <v>747</v>
      </c>
      <c r="F108" t="s">
        <v>748</v>
      </c>
      <c r="G108">
        <v>1.39830697129743E-2</v>
      </c>
      <c r="H108" t="s">
        <v>42</v>
      </c>
      <c r="I108" t="s">
        <v>51</v>
      </c>
      <c r="J108" t="s">
        <v>1650</v>
      </c>
    </row>
    <row r="109" spans="1:10" x14ac:dyDescent="0.2">
      <c r="A109">
        <v>0</v>
      </c>
      <c r="B109">
        <v>5.0534675880071199E-6</v>
      </c>
      <c r="C109">
        <v>4</v>
      </c>
      <c r="D109">
        <v>645</v>
      </c>
      <c r="E109" t="s">
        <v>749</v>
      </c>
      <c r="F109" t="s">
        <v>750</v>
      </c>
      <c r="G109">
        <v>4.3406626861197998E-4</v>
      </c>
      <c r="H109" t="s">
        <v>42</v>
      </c>
      <c r="I109" t="s">
        <v>51</v>
      </c>
      <c r="J109" t="s">
        <v>1650</v>
      </c>
    </row>
    <row r="110" spans="1:10" x14ac:dyDescent="0.2">
      <c r="A110">
        <v>0</v>
      </c>
      <c r="B110">
        <v>9.6180733693525494E-5</v>
      </c>
      <c r="C110">
        <v>4</v>
      </c>
      <c r="D110">
        <v>17</v>
      </c>
      <c r="E110" t="s">
        <v>751</v>
      </c>
      <c r="F110" t="s">
        <v>752</v>
      </c>
      <c r="G110">
        <v>4.85464816663403E-3</v>
      </c>
      <c r="H110" t="s">
        <v>42</v>
      </c>
      <c r="I110" t="s">
        <v>51</v>
      </c>
      <c r="J110" t="s">
        <v>1650</v>
      </c>
    </row>
    <row r="111" spans="1:10" x14ac:dyDescent="0.2">
      <c r="A111">
        <v>0</v>
      </c>
      <c r="B111">
        <v>1.55488049833517E-3</v>
      </c>
      <c r="C111">
        <v>6</v>
      </c>
      <c r="D111">
        <v>16</v>
      </c>
      <c r="E111" t="s">
        <v>753</v>
      </c>
      <c r="F111" t="s">
        <v>754</v>
      </c>
      <c r="G111">
        <v>4.27095914810839E-2</v>
      </c>
      <c r="H111" t="s">
        <v>42</v>
      </c>
      <c r="I111" t="s">
        <v>51</v>
      </c>
      <c r="J111" t="s">
        <v>1650</v>
      </c>
    </row>
    <row r="112" spans="1:10" x14ac:dyDescent="0.2">
      <c r="A112">
        <v>0</v>
      </c>
      <c r="B112">
        <v>1.41854223362312E-3</v>
      </c>
      <c r="C112">
        <v>2</v>
      </c>
      <c r="D112">
        <v>56</v>
      </c>
      <c r="E112" t="s">
        <v>755</v>
      </c>
      <c r="F112" t="s">
        <v>756</v>
      </c>
      <c r="G112">
        <v>4.03789696268535E-2</v>
      </c>
      <c r="H112" t="s">
        <v>42</v>
      </c>
      <c r="I112" t="s">
        <v>51</v>
      </c>
      <c r="J112" t="s">
        <v>1650</v>
      </c>
    </row>
    <row r="113" spans="1:10" x14ac:dyDescent="0.2">
      <c r="A113">
        <v>0</v>
      </c>
      <c r="B113">
        <v>3.2440443769793402E-5</v>
      </c>
      <c r="C113">
        <v>3</v>
      </c>
      <c r="D113">
        <v>361</v>
      </c>
      <c r="E113" t="s">
        <v>394</v>
      </c>
      <c r="F113" t="s">
        <v>395</v>
      </c>
      <c r="G113">
        <v>2.01048623666973E-3</v>
      </c>
      <c r="H113" t="s">
        <v>42</v>
      </c>
      <c r="I113" t="s">
        <v>51</v>
      </c>
      <c r="J113" t="s">
        <v>1650</v>
      </c>
    </row>
    <row r="114" spans="1:10" x14ac:dyDescent="0.2">
      <c r="A114">
        <v>0</v>
      </c>
      <c r="B114">
        <v>3.5593170567427702E-4</v>
      </c>
      <c r="C114">
        <v>2</v>
      </c>
      <c r="D114">
        <v>10</v>
      </c>
      <c r="E114" t="s">
        <v>757</v>
      </c>
      <c r="F114" t="s">
        <v>758</v>
      </c>
      <c r="G114">
        <v>1.3721587645521701E-2</v>
      </c>
      <c r="H114" t="s">
        <v>42</v>
      </c>
      <c r="I114" t="s">
        <v>51</v>
      </c>
      <c r="J114" t="s">
        <v>1650</v>
      </c>
    </row>
    <row r="115" spans="1:10" x14ac:dyDescent="0.2">
      <c r="A115">
        <v>0</v>
      </c>
      <c r="B115">
        <v>9.5127510835511298E-4</v>
      </c>
      <c r="C115">
        <v>3</v>
      </c>
      <c r="D115">
        <v>30</v>
      </c>
      <c r="E115" t="s">
        <v>759</v>
      </c>
      <c r="F115" t="s">
        <v>760</v>
      </c>
      <c r="G115">
        <v>3.0843992917262499E-2</v>
      </c>
      <c r="H115" t="s">
        <v>42</v>
      </c>
      <c r="I115" t="s">
        <v>51</v>
      </c>
      <c r="J115" t="s">
        <v>1650</v>
      </c>
    </row>
    <row r="116" spans="1:10" x14ac:dyDescent="0.2">
      <c r="A116">
        <v>0</v>
      </c>
      <c r="B116">
        <v>1.93026812690954E-7</v>
      </c>
      <c r="C116">
        <v>2</v>
      </c>
      <c r="D116">
        <v>689</v>
      </c>
      <c r="E116" t="s">
        <v>396</v>
      </c>
      <c r="F116" t="s">
        <v>397</v>
      </c>
      <c r="G116">
        <v>2.9533102341716E-5</v>
      </c>
      <c r="H116" t="s">
        <v>42</v>
      </c>
      <c r="I116" t="s">
        <v>51</v>
      </c>
      <c r="J116" t="s">
        <v>1650</v>
      </c>
    </row>
    <row r="117" spans="1:10" x14ac:dyDescent="0.2">
      <c r="A117">
        <v>0</v>
      </c>
      <c r="B117">
        <v>4.2165576415319602E-8</v>
      </c>
      <c r="C117">
        <v>2</v>
      </c>
      <c r="D117">
        <v>500</v>
      </c>
      <c r="E117" t="s">
        <v>321</v>
      </c>
      <c r="F117" t="s">
        <v>322</v>
      </c>
      <c r="G117">
        <v>7.9401023895924899E-6</v>
      </c>
      <c r="H117" t="s">
        <v>42</v>
      </c>
      <c r="I117" t="s">
        <v>51</v>
      </c>
      <c r="J117" t="s">
        <v>1650</v>
      </c>
    </row>
    <row r="118" spans="1:10" x14ac:dyDescent="0.2">
      <c r="A118">
        <v>0</v>
      </c>
      <c r="B118">
        <v>1.2693863650866701E-10</v>
      </c>
      <c r="C118">
        <v>3</v>
      </c>
      <c r="D118">
        <v>1383</v>
      </c>
      <c r="E118" t="s">
        <v>230</v>
      </c>
      <c r="F118" t="s">
        <v>231</v>
      </c>
      <c r="G118">
        <v>1.03581927391072E-7</v>
      </c>
      <c r="H118" t="s">
        <v>42</v>
      </c>
      <c r="I118" t="s">
        <v>51</v>
      </c>
      <c r="J118" t="s">
        <v>1657</v>
      </c>
    </row>
    <row r="119" spans="1:10" x14ac:dyDescent="0.2">
      <c r="A119">
        <v>0</v>
      </c>
      <c r="B119">
        <v>2.6338122546713501E-4</v>
      </c>
      <c r="C119">
        <v>4</v>
      </c>
      <c r="D119">
        <v>554</v>
      </c>
      <c r="E119" t="s">
        <v>761</v>
      </c>
      <c r="F119" t="s">
        <v>762</v>
      </c>
      <c r="G119">
        <v>1.0657144461876799E-2</v>
      </c>
      <c r="H119" t="s">
        <v>42</v>
      </c>
      <c r="I119" t="s">
        <v>51</v>
      </c>
      <c r="J119" t="s">
        <v>1657</v>
      </c>
    </row>
    <row r="120" spans="1:10" x14ac:dyDescent="0.2">
      <c r="A120">
        <v>0</v>
      </c>
      <c r="B120">
        <v>2.5828541202539399E-5</v>
      </c>
      <c r="C120">
        <v>3</v>
      </c>
      <c r="D120">
        <v>709</v>
      </c>
      <c r="E120" t="s">
        <v>763</v>
      </c>
      <c r="F120" t="s">
        <v>764</v>
      </c>
      <c r="G120">
        <v>1.7322813387347E-3</v>
      </c>
      <c r="H120" t="s">
        <v>42</v>
      </c>
      <c r="I120" t="s">
        <v>51</v>
      </c>
      <c r="J120" t="s">
        <v>1657</v>
      </c>
    </row>
    <row r="121" spans="1:10" x14ac:dyDescent="0.2">
      <c r="A121">
        <v>0</v>
      </c>
      <c r="B121">
        <v>1.8420286157994801E-3</v>
      </c>
      <c r="C121">
        <v>2</v>
      </c>
      <c r="D121">
        <v>222</v>
      </c>
      <c r="E121" t="s">
        <v>765</v>
      </c>
      <c r="F121" t="s">
        <v>766</v>
      </c>
      <c r="G121">
        <v>4.9281814770241801E-2</v>
      </c>
      <c r="H121" t="s">
        <v>42</v>
      </c>
      <c r="I121" t="s">
        <v>51</v>
      </c>
      <c r="J121" t="s">
        <v>1657</v>
      </c>
    </row>
    <row r="122" spans="1:10" x14ac:dyDescent="0.2">
      <c r="A122">
        <v>0</v>
      </c>
      <c r="B122">
        <v>9.4250600396059801E-5</v>
      </c>
      <c r="C122">
        <v>3</v>
      </c>
      <c r="D122">
        <v>152</v>
      </c>
      <c r="E122" t="s">
        <v>767</v>
      </c>
      <c r="F122" t="s">
        <v>768</v>
      </c>
      <c r="G122">
        <v>4.8455856640034298E-3</v>
      </c>
      <c r="H122" t="s">
        <v>42</v>
      </c>
      <c r="I122" t="s">
        <v>51</v>
      </c>
      <c r="J122" t="s">
        <v>1657</v>
      </c>
    </row>
    <row r="123" spans="1:10" x14ac:dyDescent="0.2">
      <c r="A123">
        <v>0</v>
      </c>
      <c r="B123">
        <v>1.01517560939267E-6</v>
      </c>
      <c r="C123">
        <v>2</v>
      </c>
      <c r="D123">
        <v>1124</v>
      </c>
      <c r="E123" t="s">
        <v>29</v>
      </c>
      <c r="F123" t="s">
        <v>30</v>
      </c>
      <c r="G123">
        <v>1.2425749458966299E-4</v>
      </c>
      <c r="H123" t="s">
        <v>42</v>
      </c>
      <c r="I123" t="s">
        <v>51</v>
      </c>
      <c r="J123" t="s">
        <v>1650</v>
      </c>
    </row>
    <row r="124" spans="1:10" x14ac:dyDescent="0.2">
      <c r="A124">
        <v>0</v>
      </c>
      <c r="B124">
        <v>7.7060791542678502E-4</v>
      </c>
      <c r="C124">
        <v>2</v>
      </c>
      <c r="D124">
        <v>49</v>
      </c>
      <c r="E124" t="s">
        <v>769</v>
      </c>
      <c r="F124" t="s">
        <v>770</v>
      </c>
      <c r="G124">
        <v>2.5841755848832498E-2</v>
      </c>
      <c r="H124" t="s">
        <v>42</v>
      </c>
      <c r="I124" t="s">
        <v>51</v>
      </c>
      <c r="J124" t="s">
        <v>1650</v>
      </c>
    </row>
    <row r="125" spans="1:10" x14ac:dyDescent="0.2">
      <c r="A125">
        <v>0</v>
      </c>
      <c r="B125">
        <v>3.9563316197304299E-4</v>
      </c>
      <c r="C125">
        <v>2</v>
      </c>
      <c r="D125">
        <v>529</v>
      </c>
      <c r="E125" t="s">
        <v>500</v>
      </c>
      <c r="F125" t="s">
        <v>501</v>
      </c>
      <c r="G125">
        <v>1.4674393644091E-2</v>
      </c>
      <c r="H125" t="s">
        <v>42</v>
      </c>
      <c r="I125" t="s">
        <v>51</v>
      </c>
      <c r="J125" t="s">
        <v>1664</v>
      </c>
    </row>
    <row r="126" spans="1:10" x14ac:dyDescent="0.2">
      <c r="A126">
        <v>0</v>
      </c>
      <c r="B126">
        <v>2.4217338349055299E-4</v>
      </c>
      <c r="C126">
        <v>5</v>
      </c>
      <c r="D126">
        <v>310</v>
      </c>
      <c r="E126" t="s">
        <v>502</v>
      </c>
      <c r="F126" t="s">
        <v>503</v>
      </c>
      <c r="G126">
        <v>1.0134024662989301E-2</v>
      </c>
      <c r="H126" t="s">
        <v>42</v>
      </c>
      <c r="I126" t="s">
        <v>51</v>
      </c>
      <c r="J126" t="s">
        <v>1664</v>
      </c>
    </row>
    <row r="127" spans="1:10" x14ac:dyDescent="0.2">
      <c r="A127">
        <v>0</v>
      </c>
      <c r="B127">
        <v>5.5205748326338396E-4</v>
      </c>
      <c r="C127">
        <v>2</v>
      </c>
      <c r="D127">
        <v>722</v>
      </c>
      <c r="E127" t="s">
        <v>771</v>
      </c>
      <c r="F127" t="s">
        <v>772</v>
      </c>
      <c r="G127">
        <v>1.9445132647895901E-2</v>
      </c>
      <c r="H127" t="s">
        <v>42</v>
      </c>
      <c r="I127" t="s">
        <v>51</v>
      </c>
      <c r="J127" t="s">
        <v>1650</v>
      </c>
    </row>
    <row r="128" spans="1:10" x14ac:dyDescent="0.2">
      <c r="A128">
        <v>0</v>
      </c>
      <c r="B128">
        <v>1.8193734293577399E-3</v>
      </c>
      <c r="C128">
        <v>5</v>
      </c>
      <c r="D128">
        <v>340</v>
      </c>
      <c r="E128" t="s">
        <v>773</v>
      </c>
      <c r="F128" t="s">
        <v>774</v>
      </c>
      <c r="G128">
        <v>4.9063069330174097E-2</v>
      </c>
      <c r="H128" t="s">
        <v>42</v>
      </c>
      <c r="I128" t="s">
        <v>51</v>
      </c>
      <c r="J128" t="s">
        <v>1650</v>
      </c>
    </row>
    <row r="129" spans="1:10" x14ac:dyDescent="0.2">
      <c r="A129">
        <v>0</v>
      </c>
      <c r="B129">
        <v>2.59834661481139E-10</v>
      </c>
      <c r="C129">
        <v>3</v>
      </c>
      <c r="D129">
        <v>3746</v>
      </c>
      <c r="E129" t="s">
        <v>234</v>
      </c>
      <c r="F129" t="s">
        <v>235</v>
      </c>
      <c r="G129">
        <v>1.5901881282645699E-7</v>
      </c>
      <c r="H129" t="s">
        <v>42</v>
      </c>
      <c r="I129" t="s">
        <v>51</v>
      </c>
      <c r="J129" t="s">
        <v>1650</v>
      </c>
    </row>
    <row r="130" spans="1:10" x14ac:dyDescent="0.2">
      <c r="A130">
        <v>0</v>
      </c>
      <c r="B130">
        <v>5.7943861026824903E-5</v>
      </c>
      <c r="C130">
        <v>2</v>
      </c>
      <c r="D130">
        <v>1538</v>
      </c>
      <c r="E130" t="s">
        <v>775</v>
      </c>
      <c r="F130" t="s">
        <v>776</v>
      </c>
      <c r="G130">
        <v>3.3772993284206499E-3</v>
      </c>
      <c r="H130" t="s">
        <v>42</v>
      </c>
      <c r="I130" t="s">
        <v>51</v>
      </c>
      <c r="J130" t="s">
        <v>1650</v>
      </c>
    </row>
    <row r="131" spans="1:10" x14ac:dyDescent="0.2">
      <c r="A131">
        <v>0</v>
      </c>
      <c r="B131">
        <v>3.0652570164720898E-7</v>
      </c>
      <c r="C131">
        <v>2</v>
      </c>
      <c r="D131">
        <v>413</v>
      </c>
      <c r="E131" t="s">
        <v>585</v>
      </c>
      <c r="F131" t="s">
        <v>586</v>
      </c>
      <c r="G131">
        <v>4.2878566721849602E-5</v>
      </c>
      <c r="H131" t="s">
        <v>42</v>
      </c>
      <c r="I131" t="s">
        <v>51</v>
      </c>
      <c r="J131" t="s">
        <v>1657</v>
      </c>
    </row>
    <row r="132" spans="1:10" x14ac:dyDescent="0.2">
      <c r="A132">
        <v>0</v>
      </c>
      <c r="B132">
        <v>4.3388015481516599E-4</v>
      </c>
      <c r="C132">
        <v>2</v>
      </c>
      <c r="D132">
        <v>66</v>
      </c>
      <c r="E132" t="s">
        <v>329</v>
      </c>
      <c r="F132" t="s">
        <v>330</v>
      </c>
      <c r="G132">
        <v>1.5852815208769001E-2</v>
      </c>
      <c r="H132" t="s">
        <v>42</v>
      </c>
      <c r="I132" t="s">
        <v>51</v>
      </c>
      <c r="J132" t="s">
        <v>1650</v>
      </c>
    </row>
    <row r="133" spans="1:10" x14ac:dyDescent="0.2">
      <c r="A133">
        <v>0</v>
      </c>
      <c r="B133">
        <v>1.46291434234021E-5</v>
      </c>
      <c r="C133">
        <v>4</v>
      </c>
      <c r="D133">
        <v>1214</v>
      </c>
      <c r="E133" t="s">
        <v>777</v>
      </c>
      <c r="F133" t="s">
        <v>778</v>
      </c>
      <c r="G133">
        <v>1.08897491706528E-3</v>
      </c>
      <c r="H133" t="s">
        <v>42</v>
      </c>
      <c r="I133" t="s">
        <v>51</v>
      </c>
      <c r="J133" t="s">
        <v>1650</v>
      </c>
    </row>
    <row r="134" spans="1:10" x14ac:dyDescent="0.2">
      <c r="A134">
        <v>0</v>
      </c>
      <c r="B134">
        <v>8.2296802265898502E-5</v>
      </c>
      <c r="C134">
        <v>2</v>
      </c>
      <c r="D134">
        <v>805</v>
      </c>
      <c r="E134" t="s">
        <v>88</v>
      </c>
      <c r="F134" t="s">
        <v>89</v>
      </c>
      <c r="G134">
        <v>4.3796211292808597E-3</v>
      </c>
      <c r="H134" t="s">
        <v>42</v>
      </c>
      <c r="I134" t="s">
        <v>51</v>
      </c>
      <c r="J134" t="s">
        <v>1650</v>
      </c>
    </row>
    <row r="135" spans="1:10" x14ac:dyDescent="0.2">
      <c r="A135">
        <v>0</v>
      </c>
      <c r="B135">
        <v>9.5575421345468706E-9</v>
      </c>
      <c r="C135">
        <v>5</v>
      </c>
      <c r="D135">
        <v>1391</v>
      </c>
      <c r="E135" t="s">
        <v>242</v>
      </c>
      <c r="F135" t="s">
        <v>243</v>
      </c>
      <c r="G135">
        <v>2.4628276995127101E-6</v>
      </c>
      <c r="H135" t="s">
        <v>42</v>
      </c>
      <c r="I135" t="s">
        <v>51</v>
      </c>
      <c r="J135" t="s">
        <v>1650</v>
      </c>
    </row>
    <row r="136" spans="1:10" x14ac:dyDescent="0.2">
      <c r="A136">
        <v>0</v>
      </c>
      <c r="B136">
        <v>1.4043209386992201E-3</v>
      </c>
      <c r="C136">
        <v>6</v>
      </c>
      <c r="D136">
        <v>456</v>
      </c>
      <c r="E136" t="s">
        <v>416</v>
      </c>
      <c r="F136" t="s">
        <v>417</v>
      </c>
      <c r="G136">
        <v>4.02079258238092E-2</v>
      </c>
      <c r="H136" t="s">
        <v>42</v>
      </c>
      <c r="I136" t="s">
        <v>51</v>
      </c>
      <c r="J136" t="s">
        <v>1650</v>
      </c>
    </row>
    <row r="137" spans="1:10" x14ac:dyDescent="0.2">
      <c r="A137">
        <v>0</v>
      </c>
      <c r="B137">
        <v>2.5828541202539399E-5</v>
      </c>
      <c r="C137">
        <v>2</v>
      </c>
      <c r="D137">
        <v>709</v>
      </c>
      <c r="E137" t="s">
        <v>246</v>
      </c>
      <c r="F137" t="s">
        <v>247</v>
      </c>
      <c r="G137">
        <v>1.7322813387347E-3</v>
      </c>
      <c r="H137" t="s">
        <v>42</v>
      </c>
      <c r="I137" t="s">
        <v>51</v>
      </c>
      <c r="J137" t="s">
        <v>1650</v>
      </c>
    </row>
    <row r="138" spans="1:10" x14ac:dyDescent="0.2">
      <c r="A138">
        <v>0</v>
      </c>
      <c r="B138">
        <v>1.37162510004881E-3</v>
      </c>
      <c r="C138">
        <v>3</v>
      </c>
      <c r="D138">
        <v>33</v>
      </c>
      <c r="E138" t="s">
        <v>779</v>
      </c>
      <c r="F138" t="s">
        <v>780</v>
      </c>
      <c r="G138">
        <v>3.9502802881405702E-2</v>
      </c>
      <c r="H138" t="s">
        <v>42</v>
      </c>
      <c r="I138" t="s">
        <v>51</v>
      </c>
      <c r="J138" t="s">
        <v>1650</v>
      </c>
    </row>
    <row r="139" spans="1:10" x14ac:dyDescent="0.2">
      <c r="A139">
        <v>0</v>
      </c>
      <c r="B139">
        <v>1.7756173781100401E-8</v>
      </c>
      <c r="C139">
        <v>2</v>
      </c>
      <c r="D139">
        <v>999</v>
      </c>
      <c r="E139" t="s">
        <v>92</v>
      </c>
      <c r="F139" t="s">
        <v>93</v>
      </c>
      <c r="G139">
        <v>3.9515557651030703E-6</v>
      </c>
      <c r="H139" t="s">
        <v>42</v>
      </c>
      <c r="I139" t="s">
        <v>51</v>
      </c>
      <c r="J139" t="s">
        <v>1650</v>
      </c>
    </row>
    <row r="140" spans="1:10" x14ac:dyDescent="0.2">
      <c r="A140">
        <v>0</v>
      </c>
      <c r="B140">
        <v>1.2064895327986601E-3</v>
      </c>
      <c r="C140">
        <v>7</v>
      </c>
      <c r="D140">
        <v>80</v>
      </c>
      <c r="E140" t="s">
        <v>250</v>
      </c>
      <c r="F140" t="s">
        <v>251</v>
      </c>
      <c r="G140">
        <v>3.6203997271684198E-2</v>
      </c>
      <c r="H140" t="s">
        <v>42</v>
      </c>
      <c r="I140" t="s">
        <v>51</v>
      </c>
      <c r="J140" t="s">
        <v>1650</v>
      </c>
    </row>
    <row r="141" spans="1:10" x14ac:dyDescent="0.2">
      <c r="A141">
        <v>0</v>
      </c>
      <c r="B141">
        <v>1.2031229663959299E-3</v>
      </c>
      <c r="C141">
        <v>2</v>
      </c>
      <c r="D141">
        <v>54</v>
      </c>
      <c r="E141" t="s">
        <v>781</v>
      </c>
      <c r="F141" t="s">
        <v>782</v>
      </c>
      <c r="G141">
        <v>3.6203997271684198E-2</v>
      </c>
      <c r="H141" t="s">
        <v>42</v>
      </c>
      <c r="I141" t="s">
        <v>51</v>
      </c>
      <c r="J141" t="s">
        <v>1650</v>
      </c>
    </row>
    <row r="142" spans="1:10" x14ac:dyDescent="0.2">
      <c r="A142">
        <v>0</v>
      </c>
      <c r="B142">
        <v>7.22286706073509E-10</v>
      </c>
      <c r="C142">
        <v>2</v>
      </c>
      <c r="D142">
        <v>3714</v>
      </c>
      <c r="E142" t="s">
        <v>94</v>
      </c>
      <c r="F142" t="s">
        <v>95</v>
      </c>
      <c r="G142">
        <v>3.2917321294633902E-7</v>
      </c>
      <c r="H142" t="s">
        <v>42</v>
      </c>
      <c r="I142" t="s">
        <v>51</v>
      </c>
      <c r="J142" t="s">
        <v>1650</v>
      </c>
    </row>
    <row r="143" spans="1:10" x14ac:dyDescent="0.2">
      <c r="A143">
        <v>0</v>
      </c>
      <c r="B143">
        <v>2.0372785950229199E-4</v>
      </c>
      <c r="C143">
        <v>2</v>
      </c>
      <c r="D143">
        <v>37</v>
      </c>
      <c r="E143" t="s">
        <v>783</v>
      </c>
      <c r="F143" t="s">
        <v>784</v>
      </c>
      <c r="G143">
        <v>8.6734921749845404E-3</v>
      </c>
      <c r="H143" t="s">
        <v>42</v>
      </c>
      <c r="I143" t="s">
        <v>51</v>
      </c>
      <c r="J143" t="s">
        <v>1650</v>
      </c>
    </row>
    <row r="144" spans="1:10" x14ac:dyDescent="0.2">
      <c r="A144">
        <v>0</v>
      </c>
      <c r="B144">
        <v>1.3503738301084301E-7</v>
      </c>
      <c r="C144">
        <v>3</v>
      </c>
      <c r="D144">
        <v>3848</v>
      </c>
      <c r="E144" t="s">
        <v>422</v>
      </c>
      <c r="F144" t="s">
        <v>423</v>
      </c>
      <c r="G144">
        <v>2.1327194426486701E-5</v>
      </c>
      <c r="H144" t="s">
        <v>42</v>
      </c>
      <c r="I144" t="s">
        <v>51</v>
      </c>
      <c r="J144" t="s">
        <v>1650</v>
      </c>
    </row>
    <row r="145" spans="1:10" x14ac:dyDescent="0.2">
      <c r="A145">
        <v>0</v>
      </c>
      <c r="B145">
        <v>4.0539614122337801E-6</v>
      </c>
      <c r="C145">
        <v>2</v>
      </c>
      <c r="D145">
        <v>970</v>
      </c>
      <c r="E145" t="s">
        <v>785</v>
      </c>
      <c r="F145" t="s">
        <v>786</v>
      </c>
      <c r="G145">
        <v>3.6087627407812E-4</v>
      </c>
      <c r="H145" t="s">
        <v>42</v>
      </c>
      <c r="I145" t="s">
        <v>51</v>
      </c>
      <c r="J145" t="s">
        <v>1650</v>
      </c>
    </row>
    <row r="146" spans="1:10" x14ac:dyDescent="0.2">
      <c r="A146">
        <v>0</v>
      </c>
      <c r="B146">
        <v>3.1601941066365403E-5</v>
      </c>
      <c r="C146">
        <v>2</v>
      </c>
      <c r="D146">
        <v>3757</v>
      </c>
      <c r="E146" t="s">
        <v>787</v>
      </c>
      <c r="F146" t="s">
        <v>788</v>
      </c>
      <c r="G146">
        <v>1.98362953155032E-3</v>
      </c>
      <c r="H146" t="s">
        <v>42</v>
      </c>
      <c r="I146" t="s">
        <v>51</v>
      </c>
      <c r="J146" t="s">
        <v>1650</v>
      </c>
    </row>
    <row r="147" spans="1:10" x14ac:dyDescent="0.2">
      <c r="A147">
        <v>0</v>
      </c>
      <c r="B147">
        <v>5.2970548315647997E-6</v>
      </c>
      <c r="C147">
        <v>2</v>
      </c>
      <c r="D147">
        <v>2626</v>
      </c>
      <c r="E147" t="s">
        <v>789</v>
      </c>
      <c r="F147" t="s">
        <v>790</v>
      </c>
      <c r="G147">
        <v>4.4714449060933198E-4</v>
      </c>
      <c r="H147" t="s">
        <v>42</v>
      </c>
      <c r="I147" t="s">
        <v>51</v>
      </c>
      <c r="J147" t="s">
        <v>1650</v>
      </c>
    </row>
    <row r="148" spans="1:10" x14ac:dyDescent="0.2">
      <c r="A148">
        <v>0</v>
      </c>
      <c r="B148">
        <v>7.9305369025808704E-5</v>
      </c>
      <c r="C148">
        <v>2</v>
      </c>
      <c r="D148">
        <v>70</v>
      </c>
      <c r="E148" t="s">
        <v>254</v>
      </c>
      <c r="F148" t="s">
        <v>255</v>
      </c>
      <c r="G148">
        <v>4.2668031511028503E-3</v>
      </c>
      <c r="H148" t="s">
        <v>42</v>
      </c>
      <c r="I148" t="s">
        <v>51</v>
      </c>
      <c r="J148" t="s">
        <v>1657</v>
      </c>
    </row>
    <row r="149" spans="1:10" x14ac:dyDescent="0.2">
      <c r="A149">
        <v>0</v>
      </c>
      <c r="B149">
        <v>3.8795824308658199E-4</v>
      </c>
      <c r="C149">
        <v>3</v>
      </c>
      <c r="D149">
        <v>287</v>
      </c>
      <c r="E149" t="s">
        <v>791</v>
      </c>
      <c r="F149" t="s">
        <v>792</v>
      </c>
      <c r="G149">
        <v>1.4499569146197801E-2</v>
      </c>
      <c r="H149" t="s">
        <v>42</v>
      </c>
      <c r="I149" t="s">
        <v>51</v>
      </c>
      <c r="J149" t="s">
        <v>1650</v>
      </c>
    </row>
    <row r="150" spans="1:10" x14ac:dyDescent="0.2">
      <c r="A150">
        <v>0</v>
      </c>
      <c r="B150">
        <v>6.6165153724233197E-4</v>
      </c>
      <c r="C150">
        <v>2</v>
      </c>
      <c r="D150">
        <v>686</v>
      </c>
      <c r="E150" t="s">
        <v>793</v>
      </c>
      <c r="F150" t="s">
        <v>794</v>
      </c>
      <c r="G150">
        <v>2.2653468016352801E-2</v>
      </c>
      <c r="H150" t="s">
        <v>42</v>
      </c>
      <c r="I150" t="s">
        <v>51</v>
      </c>
      <c r="J150" t="s">
        <v>1657</v>
      </c>
    </row>
    <row r="151" spans="1:10" x14ac:dyDescent="0.2">
      <c r="A151">
        <v>0</v>
      </c>
      <c r="B151">
        <v>9.8790107453990399E-4</v>
      </c>
      <c r="C151">
        <v>3</v>
      </c>
      <c r="D151">
        <v>77</v>
      </c>
      <c r="E151" t="s">
        <v>795</v>
      </c>
      <c r="F151" t="s">
        <v>796</v>
      </c>
      <c r="G151">
        <v>3.1812597140006997E-2</v>
      </c>
      <c r="H151" t="s">
        <v>42</v>
      </c>
      <c r="I151" t="s">
        <v>51</v>
      </c>
      <c r="J151" t="s">
        <v>1650</v>
      </c>
    </row>
    <row r="152" spans="1:10" x14ac:dyDescent="0.2">
      <c r="A152">
        <v>0</v>
      </c>
      <c r="B152">
        <v>8.2819824445138097E-10</v>
      </c>
      <c r="C152">
        <v>3</v>
      </c>
      <c r="D152">
        <v>2166</v>
      </c>
      <c r="E152" t="s">
        <v>256</v>
      </c>
      <c r="F152" t="s">
        <v>257</v>
      </c>
      <c r="G152">
        <v>3.3790488373616301E-7</v>
      </c>
      <c r="H152" t="s">
        <v>42</v>
      </c>
      <c r="I152" t="s">
        <v>51</v>
      </c>
      <c r="J152" t="s">
        <v>1650</v>
      </c>
    </row>
    <row r="153" spans="1:10" x14ac:dyDescent="0.2">
      <c r="A153">
        <v>0</v>
      </c>
      <c r="B153">
        <v>5.1878091658069496E-4</v>
      </c>
      <c r="C153">
        <v>2</v>
      </c>
      <c r="D153">
        <v>296</v>
      </c>
      <c r="E153" t="s">
        <v>797</v>
      </c>
      <c r="F153" t="s">
        <v>798</v>
      </c>
      <c r="G153">
        <v>1.8405444692602E-2</v>
      </c>
      <c r="H153" t="s">
        <v>42</v>
      </c>
      <c r="I153" t="s">
        <v>51</v>
      </c>
      <c r="J153" t="s">
        <v>1650</v>
      </c>
    </row>
    <row r="154" spans="1:10" x14ac:dyDescent="0.2">
      <c r="A154">
        <v>0</v>
      </c>
      <c r="B154">
        <v>1.8327037808014301E-4</v>
      </c>
      <c r="C154">
        <v>2</v>
      </c>
      <c r="D154">
        <v>106</v>
      </c>
      <c r="E154" t="s">
        <v>799</v>
      </c>
      <c r="F154" t="s">
        <v>800</v>
      </c>
      <c r="G154">
        <v>8.1571979189125499E-3</v>
      </c>
      <c r="H154" t="s">
        <v>42</v>
      </c>
      <c r="I154" t="s">
        <v>51</v>
      </c>
      <c r="J154" t="s">
        <v>1650</v>
      </c>
    </row>
    <row r="155" spans="1:10" x14ac:dyDescent="0.2">
      <c r="A155">
        <v>0</v>
      </c>
      <c r="B155">
        <v>3.7128248829384401E-4</v>
      </c>
      <c r="C155">
        <v>2</v>
      </c>
      <c r="D155">
        <v>402</v>
      </c>
      <c r="E155" t="s">
        <v>801</v>
      </c>
      <c r="F155" t="s">
        <v>802</v>
      </c>
      <c r="G155">
        <v>1.39830697129743E-2</v>
      </c>
      <c r="H155" t="s">
        <v>42</v>
      </c>
      <c r="I155" t="s">
        <v>51</v>
      </c>
      <c r="J155" t="s">
        <v>1650</v>
      </c>
    </row>
    <row r="156" spans="1:10" x14ac:dyDescent="0.2">
      <c r="A156">
        <v>0</v>
      </c>
      <c r="B156">
        <v>1.22011020217073E-3</v>
      </c>
      <c r="C156">
        <v>3</v>
      </c>
      <c r="D156">
        <v>210</v>
      </c>
      <c r="E156" t="s">
        <v>803</v>
      </c>
      <c r="F156" t="s">
        <v>804</v>
      </c>
      <c r="G156">
        <v>3.6203997271684198E-2</v>
      </c>
      <c r="H156" t="s">
        <v>42</v>
      </c>
      <c r="I156" t="s">
        <v>51</v>
      </c>
      <c r="J156" t="s">
        <v>1650</v>
      </c>
    </row>
    <row r="157" spans="1:10" x14ac:dyDescent="0.2">
      <c r="A157">
        <v>0</v>
      </c>
      <c r="B157">
        <v>4.4522611207936302E-7</v>
      </c>
      <c r="C157">
        <v>2</v>
      </c>
      <c r="D157">
        <v>1811</v>
      </c>
      <c r="E157" t="s">
        <v>431</v>
      </c>
      <c r="F157" t="s">
        <v>432</v>
      </c>
      <c r="G157">
        <v>5.8914244452447602E-5</v>
      </c>
      <c r="H157" t="s">
        <v>42</v>
      </c>
      <c r="I157" t="s">
        <v>51</v>
      </c>
      <c r="J157" t="s">
        <v>1650</v>
      </c>
    </row>
    <row r="158" spans="1:10" x14ac:dyDescent="0.2">
      <c r="A158">
        <v>0</v>
      </c>
      <c r="B158">
        <v>8.8696699605911897E-4</v>
      </c>
      <c r="C158">
        <v>2</v>
      </c>
      <c r="D158">
        <v>522</v>
      </c>
      <c r="E158" t="s">
        <v>262</v>
      </c>
      <c r="F158" t="s">
        <v>263</v>
      </c>
      <c r="G158">
        <v>2.91449020986943E-2</v>
      </c>
      <c r="H158" t="s">
        <v>42</v>
      </c>
      <c r="I158" t="s">
        <v>51</v>
      </c>
      <c r="J158" t="s">
        <v>1650</v>
      </c>
    </row>
    <row r="159" spans="1:10" x14ac:dyDescent="0.2">
      <c r="A159">
        <v>0</v>
      </c>
      <c r="B159">
        <v>9.4658808061746704E-6</v>
      </c>
      <c r="C159">
        <v>5</v>
      </c>
      <c r="D159">
        <v>922</v>
      </c>
      <c r="E159" t="s">
        <v>805</v>
      </c>
      <c r="F159" t="s">
        <v>806</v>
      </c>
      <c r="G159">
        <v>7.3563416550843095E-4</v>
      </c>
      <c r="H159" t="s">
        <v>42</v>
      </c>
      <c r="I159" t="s">
        <v>51</v>
      </c>
      <c r="J159" t="s">
        <v>1650</v>
      </c>
    </row>
    <row r="160" spans="1:10" x14ac:dyDescent="0.2">
      <c r="A160">
        <v>0</v>
      </c>
      <c r="B160">
        <v>6.36615325555539E-4</v>
      </c>
      <c r="C160">
        <v>2</v>
      </c>
      <c r="D160">
        <v>2749</v>
      </c>
      <c r="E160" t="s">
        <v>603</v>
      </c>
      <c r="F160" t="s">
        <v>604</v>
      </c>
      <c r="G160">
        <v>2.21054513043966E-2</v>
      </c>
      <c r="H160" t="s">
        <v>42</v>
      </c>
      <c r="I160" t="s">
        <v>51</v>
      </c>
      <c r="J160" t="s">
        <v>1650</v>
      </c>
    </row>
    <row r="161" spans="1:10" x14ac:dyDescent="0.2">
      <c r="A161">
        <v>0</v>
      </c>
      <c r="B161">
        <v>7.8268856415731898E-4</v>
      </c>
      <c r="C161">
        <v>4</v>
      </c>
      <c r="D161">
        <v>560</v>
      </c>
      <c r="E161" t="s">
        <v>807</v>
      </c>
      <c r="F161" t="s">
        <v>808</v>
      </c>
      <c r="G161">
        <v>2.5892183852123201E-2</v>
      </c>
      <c r="H161" t="s">
        <v>42</v>
      </c>
      <c r="I161" t="s">
        <v>51</v>
      </c>
      <c r="J161" t="s">
        <v>1650</v>
      </c>
    </row>
    <row r="162" spans="1:10" x14ac:dyDescent="0.2">
      <c r="A162">
        <v>0</v>
      </c>
      <c r="B162">
        <v>2.6903523409902E-4</v>
      </c>
      <c r="C162">
        <v>2</v>
      </c>
      <c r="D162">
        <v>730</v>
      </c>
      <c r="E162" t="s">
        <v>809</v>
      </c>
      <c r="F162" t="s">
        <v>810</v>
      </c>
      <c r="G162">
        <v>1.0796692673350801E-2</v>
      </c>
      <c r="H162" t="s">
        <v>42</v>
      </c>
      <c r="I162" t="s">
        <v>51</v>
      </c>
      <c r="J162" t="s">
        <v>1650</v>
      </c>
    </row>
    <row r="163" spans="1:10" x14ac:dyDescent="0.2">
      <c r="A163">
        <v>0</v>
      </c>
      <c r="B163">
        <v>1.8236403515686701E-9</v>
      </c>
      <c r="C163">
        <v>2</v>
      </c>
      <c r="D163">
        <v>1534</v>
      </c>
      <c r="E163" t="s">
        <v>272</v>
      </c>
      <c r="F163" t="s">
        <v>273</v>
      </c>
      <c r="G163">
        <v>5.5803394758001301E-7</v>
      </c>
      <c r="H163" t="s">
        <v>42</v>
      </c>
      <c r="I163" t="s">
        <v>51</v>
      </c>
      <c r="J163" t="s">
        <v>1650</v>
      </c>
    </row>
    <row r="164" spans="1:10" x14ac:dyDescent="0.2">
      <c r="A164">
        <v>0</v>
      </c>
      <c r="B164">
        <v>1.29890541294278E-6</v>
      </c>
      <c r="C164">
        <v>2</v>
      </c>
      <c r="D164">
        <v>1497</v>
      </c>
      <c r="E164" t="s">
        <v>274</v>
      </c>
      <c r="F164" t="s">
        <v>275</v>
      </c>
      <c r="G164">
        <v>1.46987749355409E-4</v>
      </c>
      <c r="H164" t="s">
        <v>42</v>
      </c>
      <c r="I164" t="s">
        <v>51</v>
      </c>
      <c r="J164" t="s">
        <v>1650</v>
      </c>
    </row>
    <row r="165" spans="1:10" x14ac:dyDescent="0.2">
      <c r="A165">
        <v>0</v>
      </c>
      <c r="B165">
        <v>1.0071475579123399E-3</v>
      </c>
      <c r="C165">
        <v>4</v>
      </c>
      <c r="D165">
        <v>995</v>
      </c>
      <c r="E165" t="s">
        <v>276</v>
      </c>
      <c r="F165" t="s">
        <v>277</v>
      </c>
      <c r="G165">
        <v>3.1812597140006997E-2</v>
      </c>
      <c r="H165" t="s">
        <v>42</v>
      </c>
      <c r="I165" t="s">
        <v>51</v>
      </c>
      <c r="J165" t="s">
        <v>1655</v>
      </c>
    </row>
    <row r="166" spans="1:10" x14ac:dyDescent="0.2">
      <c r="A166">
        <v>0</v>
      </c>
      <c r="B166">
        <v>1.9634155788284099E-4</v>
      </c>
      <c r="C166">
        <v>2</v>
      </c>
      <c r="D166">
        <v>459</v>
      </c>
      <c r="E166" t="s">
        <v>811</v>
      </c>
      <c r="F166" t="s">
        <v>812</v>
      </c>
      <c r="G166">
        <v>8.5069758176494707E-3</v>
      </c>
      <c r="H166" t="s">
        <v>42</v>
      </c>
      <c r="I166" t="s">
        <v>51</v>
      </c>
      <c r="J166" t="s">
        <v>1650</v>
      </c>
    </row>
    <row r="167" spans="1:10" x14ac:dyDescent="0.2">
      <c r="A167">
        <v>0</v>
      </c>
      <c r="B167">
        <v>2.5663974418556202E-6</v>
      </c>
      <c r="C167">
        <v>2</v>
      </c>
      <c r="D167">
        <v>621</v>
      </c>
      <c r="E167" t="s">
        <v>437</v>
      </c>
      <c r="F167" t="s">
        <v>438</v>
      </c>
      <c r="G167">
        <v>2.37077016515568E-4</v>
      </c>
      <c r="H167" t="s">
        <v>42</v>
      </c>
      <c r="I167" t="s">
        <v>51</v>
      </c>
      <c r="J167" t="s">
        <v>1650</v>
      </c>
    </row>
    <row r="168" spans="1:10" x14ac:dyDescent="0.2">
      <c r="A168">
        <v>0</v>
      </c>
      <c r="B168">
        <v>1.07309907686161E-4</v>
      </c>
      <c r="C168">
        <v>2</v>
      </c>
      <c r="D168">
        <v>7</v>
      </c>
      <c r="E168" t="s">
        <v>813</v>
      </c>
      <c r="F168" t="s">
        <v>814</v>
      </c>
      <c r="G168">
        <v>5.23801848065443E-3</v>
      </c>
      <c r="H168" t="s">
        <v>42</v>
      </c>
      <c r="I168" t="s">
        <v>51</v>
      </c>
      <c r="J168" t="s">
        <v>1650</v>
      </c>
    </row>
    <row r="169" spans="1:10" x14ac:dyDescent="0.2">
      <c r="A169">
        <v>0</v>
      </c>
      <c r="B169">
        <v>1.5230905521461101E-4</v>
      </c>
      <c r="C169">
        <v>4</v>
      </c>
      <c r="D169">
        <v>490</v>
      </c>
      <c r="E169" t="s">
        <v>815</v>
      </c>
      <c r="F169" t="s">
        <v>816</v>
      </c>
      <c r="G169">
        <v>6.90467716972903E-3</v>
      </c>
      <c r="H169" t="s">
        <v>42</v>
      </c>
      <c r="I169" t="s">
        <v>51</v>
      </c>
      <c r="J169" t="s">
        <v>1650</v>
      </c>
    </row>
    <row r="170" spans="1:10" x14ac:dyDescent="0.2">
      <c r="A170">
        <v>0</v>
      </c>
      <c r="B170">
        <v>1.09552692225894E-7</v>
      </c>
      <c r="C170">
        <v>3</v>
      </c>
      <c r="D170">
        <v>40</v>
      </c>
      <c r="E170" t="s">
        <v>333</v>
      </c>
      <c r="F170" t="s">
        <v>334</v>
      </c>
      <c r="G170">
        <v>1.7878999371265901E-5</v>
      </c>
      <c r="H170" t="s">
        <v>42</v>
      </c>
      <c r="I170" t="s">
        <v>51</v>
      </c>
      <c r="J170" t="s">
        <v>1650</v>
      </c>
    </row>
    <row r="171" spans="1:10" x14ac:dyDescent="0.2">
      <c r="A171">
        <v>0</v>
      </c>
      <c r="B171">
        <v>1.89368775289348E-4</v>
      </c>
      <c r="C171">
        <v>4</v>
      </c>
      <c r="D171">
        <v>135</v>
      </c>
      <c r="E171" t="s">
        <v>817</v>
      </c>
      <c r="F171" t="s">
        <v>818</v>
      </c>
      <c r="G171">
        <v>8.2781207483629306E-3</v>
      </c>
      <c r="H171" t="s">
        <v>42</v>
      </c>
      <c r="I171" t="s">
        <v>51</v>
      </c>
      <c r="J171" t="s">
        <v>1650</v>
      </c>
    </row>
    <row r="172" spans="1:10" x14ac:dyDescent="0.2">
      <c r="A172">
        <v>0</v>
      </c>
      <c r="B172">
        <v>2.67521646291378E-6</v>
      </c>
      <c r="C172">
        <v>3</v>
      </c>
      <c r="D172">
        <v>1306</v>
      </c>
      <c r="E172" t="s">
        <v>280</v>
      </c>
      <c r="F172" t="s">
        <v>281</v>
      </c>
      <c r="G172">
        <v>2.4255295930418301E-4</v>
      </c>
      <c r="H172" t="s">
        <v>42</v>
      </c>
      <c r="I172" t="s">
        <v>51</v>
      </c>
      <c r="J172" t="s">
        <v>1650</v>
      </c>
    </row>
    <row r="173" spans="1:10" x14ac:dyDescent="0.2">
      <c r="A173">
        <v>0</v>
      </c>
      <c r="B173">
        <v>3.6887187945368799E-4</v>
      </c>
      <c r="C173">
        <v>2</v>
      </c>
      <c r="D173">
        <v>2256</v>
      </c>
      <c r="E173" t="s">
        <v>282</v>
      </c>
      <c r="F173" t="s">
        <v>283</v>
      </c>
      <c r="G173">
        <v>1.39830697129743E-2</v>
      </c>
      <c r="H173" t="s">
        <v>42</v>
      </c>
      <c r="I173" t="s">
        <v>51</v>
      </c>
      <c r="J173" t="s">
        <v>1650</v>
      </c>
    </row>
    <row r="174" spans="1:10" x14ac:dyDescent="0.2">
      <c r="A174">
        <v>0</v>
      </c>
      <c r="B174">
        <v>1.8327777564459302E-5</v>
      </c>
      <c r="C174">
        <v>3</v>
      </c>
      <c r="D174">
        <v>1706</v>
      </c>
      <c r="E174" t="s">
        <v>611</v>
      </c>
      <c r="F174" t="s">
        <v>612</v>
      </c>
      <c r="G174">
        <v>1.3195999846410699E-3</v>
      </c>
      <c r="H174" t="s">
        <v>42</v>
      </c>
      <c r="I174" t="s">
        <v>51</v>
      </c>
      <c r="J174" t="s">
        <v>1650</v>
      </c>
    </row>
    <row r="175" spans="1:10" x14ac:dyDescent="0.2">
      <c r="A175">
        <v>0</v>
      </c>
      <c r="B175">
        <v>1.46027631668686E-3</v>
      </c>
      <c r="C175">
        <v>2</v>
      </c>
      <c r="D175">
        <v>83</v>
      </c>
      <c r="E175" t="s">
        <v>819</v>
      </c>
      <c r="F175" t="s">
        <v>820</v>
      </c>
      <c r="G175">
        <v>4.1326663852594599E-2</v>
      </c>
      <c r="H175" t="s">
        <v>42</v>
      </c>
      <c r="I175" t="s">
        <v>51</v>
      </c>
      <c r="J175" t="s">
        <v>1650</v>
      </c>
    </row>
    <row r="176" spans="1:10" x14ac:dyDescent="0.2">
      <c r="A176">
        <v>0</v>
      </c>
      <c r="B176">
        <v>4.7148703960019998E-8</v>
      </c>
      <c r="C176">
        <v>4</v>
      </c>
      <c r="D176">
        <v>197</v>
      </c>
      <c r="E176" t="s">
        <v>821</v>
      </c>
      <c r="F176" t="s">
        <v>822</v>
      </c>
      <c r="G176">
        <v>8.5496316514169596E-6</v>
      </c>
      <c r="H176" t="s">
        <v>42</v>
      </c>
      <c r="I176" t="s">
        <v>51</v>
      </c>
      <c r="J176" t="s">
        <v>1650</v>
      </c>
    </row>
    <row r="177" spans="1:10" x14ac:dyDescent="0.2">
      <c r="A177">
        <v>0</v>
      </c>
      <c r="B177">
        <v>1.0152449494475501E-3</v>
      </c>
      <c r="C177">
        <v>2</v>
      </c>
      <c r="D177">
        <v>1144</v>
      </c>
      <c r="E177" t="s">
        <v>613</v>
      </c>
      <c r="F177" t="s">
        <v>614</v>
      </c>
      <c r="G177">
        <v>3.1812597140006997E-2</v>
      </c>
      <c r="H177" t="s">
        <v>42</v>
      </c>
      <c r="I177" t="s">
        <v>51</v>
      </c>
      <c r="J177" t="s">
        <v>1650</v>
      </c>
    </row>
    <row r="178" spans="1:10" x14ac:dyDescent="0.2">
      <c r="A178">
        <v>0</v>
      </c>
      <c r="B178">
        <v>1.53453025804009E-3</v>
      </c>
      <c r="C178">
        <v>4</v>
      </c>
      <c r="D178">
        <v>460</v>
      </c>
      <c r="E178" t="s">
        <v>441</v>
      </c>
      <c r="F178" t="s">
        <v>442</v>
      </c>
      <c r="G178">
        <v>4.27095914810839E-2</v>
      </c>
      <c r="H178" t="s">
        <v>42</v>
      </c>
      <c r="I178" t="s">
        <v>51</v>
      </c>
      <c r="J178" t="s">
        <v>1650</v>
      </c>
    </row>
    <row r="179" spans="1:10" x14ac:dyDescent="0.2">
      <c r="A179">
        <v>0</v>
      </c>
      <c r="B179">
        <v>2.31891133834887E-7</v>
      </c>
      <c r="C179">
        <v>3</v>
      </c>
      <c r="D179">
        <v>695</v>
      </c>
      <c r="E179" t="s">
        <v>37</v>
      </c>
      <c r="F179" t="s">
        <v>38</v>
      </c>
      <c r="G179">
        <v>3.4264278017929698E-5</v>
      </c>
      <c r="H179" t="s">
        <v>42</v>
      </c>
      <c r="I179" t="s">
        <v>51</v>
      </c>
      <c r="J179" t="s">
        <v>1650</v>
      </c>
    </row>
    <row r="180" spans="1:10" x14ac:dyDescent="0.2">
      <c r="A180">
        <v>0</v>
      </c>
      <c r="B180">
        <v>6.0504130123640503E-5</v>
      </c>
      <c r="C180">
        <v>6</v>
      </c>
      <c r="D180">
        <v>577</v>
      </c>
      <c r="E180" t="s">
        <v>823</v>
      </c>
      <c r="F180" t="s">
        <v>824</v>
      </c>
      <c r="G180">
        <v>3.4445141986667901E-3</v>
      </c>
      <c r="H180" t="s">
        <v>42</v>
      </c>
      <c r="I180" t="s">
        <v>51</v>
      </c>
      <c r="J180" t="s">
        <v>1650</v>
      </c>
    </row>
    <row r="181" spans="1:10" x14ac:dyDescent="0.2">
      <c r="A181">
        <v>0</v>
      </c>
      <c r="B181">
        <v>5.9765932314842903E-5</v>
      </c>
      <c r="C181">
        <v>2</v>
      </c>
      <c r="D181">
        <v>67</v>
      </c>
      <c r="E181" t="s">
        <v>292</v>
      </c>
      <c r="F181" t="s">
        <v>293</v>
      </c>
      <c r="G181">
        <v>3.4425177013349502E-3</v>
      </c>
      <c r="H181" t="s">
        <v>42</v>
      </c>
      <c r="I181" t="s">
        <v>51</v>
      </c>
      <c r="J181" t="s">
        <v>1650</v>
      </c>
    </row>
    <row r="182" spans="1:10" x14ac:dyDescent="0.2">
      <c r="A182">
        <v>0</v>
      </c>
      <c r="B182">
        <v>6.3507314830601905E-4</v>
      </c>
      <c r="C182">
        <v>2</v>
      </c>
      <c r="D182">
        <v>47</v>
      </c>
      <c r="E182" t="s">
        <v>294</v>
      </c>
      <c r="F182" t="s">
        <v>295</v>
      </c>
      <c r="G182">
        <v>2.21054513043966E-2</v>
      </c>
      <c r="H182" t="s">
        <v>42</v>
      </c>
      <c r="I182" t="s">
        <v>51</v>
      </c>
      <c r="J182" t="s">
        <v>1650</v>
      </c>
    </row>
    <row r="183" spans="1:10" x14ac:dyDescent="0.2">
      <c r="A183">
        <v>0</v>
      </c>
      <c r="B183">
        <v>1.55488049833517E-3</v>
      </c>
      <c r="C183">
        <v>2</v>
      </c>
      <c r="D183">
        <v>16</v>
      </c>
      <c r="E183" t="s">
        <v>825</v>
      </c>
      <c r="F183" t="s">
        <v>826</v>
      </c>
      <c r="G183">
        <v>4.27095914810839E-2</v>
      </c>
      <c r="H183" t="s">
        <v>42</v>
      </c>
      <c r="I183" t="s">
        <v>51</v>
      </c>
      <c r="J183" t="s">
        <v>1650</v>
      </c>
    </row>
    <row r="184" spans="1:10" x14ac:dyDescent="0.2">
      <c r="A184">
        <v>0</v>
      </c>
      <c r="B184">
        <v>9.1276091407424298E-5</v>
      </c>
      <c r="C184">
        <v>2</v>
      </c>
      <c r="D184">
        <v>318</v>
      </c>
      <c r="E184" t="s">
        <v>827</v>
      </c>
      <c r="F184" t="s">
        <v>828</v>
      </c>
      <c r="G184">
        <v>4.7541249311781799E-3</v>
      </c>
      <c r="H184" t="s">
        <v>42</v>
      </c>
      <c r="I184" t="s">
        <v>51</v>
      </c>
      <c r="J184" t="s">
        <v>1650</v>
      </c>
    </row>
    <row r="185" spans="1:10" x14ac:dyDescent="0.2">
      <c r="A185">
        <v>0</v>
      </c>
      <c r="B185">
        <v>2.5890011873704998E-4</v>
      </c>
      <c r="C185">
        <v>3</v>
      </c>
      <c r="D185">
        <v>172</v>
      </c>
      <c r="E185" t="s">
        <v>304</v>
      </c>
      <c r="F185" t="s">
        <v>305</v>
      </c>
      <c r="G185">
        <v>1.05631248444716E-2</v>
      </c>
      <c r="H185" t="s">
        <v>42</v>
      </c>
      <c r="I185" t="s">
        <v>51</v>
      </c>
      <c r="J185" t="s">
        <v>1650</v>
      </c>
    </row>
    <row r="186" spans="1:10" x14ac:dyDescent="0.2">
      <c r="A186">
        <v>0</v>
      </c>
      <c r="B186">
        <v>1.4679808931027001E-5</v>
      </c>
      <c r="C186">
        <v>2</v>
      </c>
      <c r="D186">
        <v>411</v>
      </c>
      <c r="E186" t="s">
        <v>829</v>
      </c>
      <c r="F186" t="s">
        <v>830</v>
      </c>
      <c r="G186">
        <v>1.08897491706528E-3</v>
      </c>
      <c r="H186" t="s">
        <v>42</v>
      </c>
      <c r="I186" t="s">
        <v>51</v>
      </c>
      <c r="J186" t="s">
        <v>1650</v>
      </c>
    </row>
    <row r="187" spans="1:10" x14ac:dyDescent="0.2">
      <c r="A187">
        <v>0</v>
      </c>
      <c r="B187">
        <v>3.13458702449825E-5</v>
      </c>
      <c r="C187">
        <v>2</v>
      </c>
      <c r="D187">
        <v>5</v>
      </c>
      <c r="E187" t="s">
        <v>831</v>
      </c>
      <c r="F187" t="s">
        <v>832</v>
      </c>
      <c r="G187">
        <v>1.98362953155032E-3</v>
      </c>
      <c r="H187" t="s">
        <v>42</v>
      </c>
      <c r="I187" t="s">
        <v>51</v>
      </c>
      <c r="J187" t="s">
        <v>1650</v>
      </c>
    </row>
    <row r="188" spans="1:10" x14ac:dyDescent="0.2">
      <c r="A188">
        <v>0</v>
      </c>
      <c r="B188">
        <v>3.5593170567427702E-4</v>
      </c>
      <c r="C188">
        <v>2</v>
      </c>
      <c r="D188">
        <v>10</v>
      </c>
      <c r="E188" t="s">
        <v>833</v>
      </c>
      <c r="F188" t="s">
        <v>834</v>
      </c>
      <c r="G188">
        <v>1.3721587645521701E-2</v>
      </c>
      <c r="H188" t="s">
        <v>42</v>
      </c>
      <c r="I188" t="s">
        <v>51</v>
      </c>
      <c r="J188" t="s">
        <v>1650</v>
      </c>
    </row>
    <row r="189" spans="1:10" x14ac:dyDescent="0.2">
      <c r="A189">
        <v>0</v>
      </c>
      <c r="B189">
        <v>6.2001798926838699E-5</v>
      </c>
      <c r="C189">
        <v>2</v>
      </c>
      <c r="D189">
        <v>6</v>
      </c>
      <c r="E189" t="s">
        <v>835</v>
      </c>
      <c r="F189" t="s">
        <v>836</v>
      </c>
      <c r="G189">
        <v>3.48920468443451E-3</v>
      </c>
      <c r="H189" t="s">
        <v>42</v>
      </c>
      <c r="I189" t="s">
        <v>51</v>
      </c>
      <c r="J189" t="s">
        <v>1650</v>
      </c>
    </row>
    <row r="190" spans="1:10" x14ac:dyDescent="0.2">
      <c r="A190">
        <v>0</v>
      </c>
      <c r="B190">
        <v>4.1830917351827902E-4</v>
      </c>
      <c r="C190">
        <v>4</v>
      </c>
      <c r="D190">
        <v>43</v>
      </c>
      <c r="E190" t="s">
        <v>837</v>
      </c>
      <c r="F190" t="s">
        <v>838</v>
      </c>
      <c r="G190">
        <v>1.5398809876281901E-2</v>
      </c>
      <c r="H190" t="s">
        <v>42</v>
      </c>
      <c r="I190" t="s">
        <v>51</v>
      </c>
      <c r="J190" t="s">
        <v>1650</v>
      </c>
    </row>
    <row r="191" spans="1:10" x14ac:dyDescent="0.2">
      <c r="A191">
        <v>0</v>
      </c>
      <c r="B191">
        <v>2.1353679889202499E-6</v>
      </c>
      <c r="C191">
        <v>4</v>
      </c>
      <c r="D191">
        <v>1204</v>
      </c>
      <c r="E191" t="s">
        <v>308</v>
      </c>
      <c r="F191" t="s">
        <v>309</v>
      </c>
      <c r="G191">
        <v>2.0359868367369999E-4</v>
      </c>
      <c r="H191" t="s">
        <v>42</v>
      </c>
      <c r="I191" t="s">
        <v>51</v>
      </c>
      <c r="J191" t="s">
        <v>1650</v>
      </c>
    </row>
    <row r="192" spans="1:10" x14ac:dyDescent="0.2">
      <c r="A192">
        <v>0</v>
      </c>
      <c r="B192">
        <v>1.8674590193298E-3</v>
      </c>
      <c r="C192">
        <v>2</v>
      </c>
      <c r="D192">
        <v>17</v>
      </c>
      <c r="E192" t="s">
        <v>839</v>
      </c>
      <c r="F192" t="s">
        <v>840</v>
      </c>
      <c r="G192">
        <v>4.9690648688253798E-2</v>
      </c>
      <c r="H192" t="s">
        <v>42</v>
      </c>
      <c r="I192" t="s">
        <v>51</v>
      </c>
      <c r="J192" t="s">
        <v>1650</v>
      </c>
    </row>
    <row r="193" spans="1:14" x14ac:dyDescent="0.2">
      <c r="A193">
        <v>0</v>
      </c>
      <c r="B193">
        <v>1.22218681505129E-4</v>
      </c>
      <c r="C193">
        <v>2</v>
      </c>
      <c r="D193">
        <v>18</v>
      </c>
      <c r="E193" t="s">
        <v>841</v>
      </c>
      <c r="F193" t="s">
        <v>842</v>
      </c>
      <c r="G193">
        <v>5.7536794677799201E-3</v>
      </c>
      <c r="H193" t="s">
        <v>42</v>
      </c>
      <c r="I193" t="s">
        <v>51</v>
      </c>
      <c r="J193" t="s">
        <v>1650</v>
      </c>
    </row>
    <row r="194" spans="1:14" x14ac:dyDescent="0.2">
      <c r="A194">
        <v>0</v>
      </c>
      <c r="B194">
        <v>4.9758531664341799E-8</v>
      </c>
      <c r="C194">
        <v>2</v>
      </c>
      <c r="D194">
        <v>539</v>
      </c>
      <c r="E194" t="s">
        <v>104</v>
      </c>
      <c r="F194" t="s">
        <v>105</v>
      </c>
      <c r="G194">
        <v>8.7006346795934807E-6</v>
      </c>
      <c r="H194" t="s">
        <v>42</v>
      </c>
      <c r="I194" t="s">
        <v>51</v>
      </c>
      <c r="J194" t="s">
        <v>1650</v>
      </c>
    </row>
    <row r="195" spans="1:14" x14ac:dyDescent="0.2">
      <c r="A195">
        <v>0</v>
      </c>
      <c r="B195">
        <v>2.1214310239171901E-5</v>
      </c>
      <c r="C195">
        <v>3</v>
      </c>
      <c r="D195">
        <v>12</v>
      </c>
      <c r="E195" t="s">
        <v>843</v>
      </c>
      <c r="F195" t="s">
        <v>844</v>
      </c>
      <c r="G195">
        <v>1.48378947044265E-3</v>
      </c>
      <c r="H195" t="s">
        <v>42</v>
      </c>
      <c r="I195" t="s">
        <v>51</v>
      </c>
      <c r="J195" t="s">
        <v>1650</v>
      </c>
    </row>
    <row r="196" spans="1:14" x14ac:dyDescent="0.2">
      <c r="A196">
        <v>0</v>
      </c>
      <c r="B196">
        <v>4.5573314336395699E-4</v>
      </c>
      <c r="C196">
        <v>2</v>
      </c>
      <c r="D196">
        <v>71</v>
      </c>
      <c r="E196" t="s">
        <v>845</v>
      </c>
      <c r="F196" t="s">
        <v>846</v>
      </c>
      <c r="G196">
        <v>2.5070443482134101E-2</v>
      </c>
      <c r="H196" t="s">
        <v>42</v>
      </c>
      <c r="I196" t="s">
        <v>337</v>
      </c>
      <c r="J196" t="s">
        <v>1659</v>
      </c>
    </row>
    <row r="197" spans="1:14" x14ac:dyDescent="0.2">
      <c r="A197">
        <v>0</v>
      </c>
      <c r="B197">
        <v>1.5938109190981E-4</v>
      </c>
      <c r="C197">
        <v>2</v>
      </c>
      <c r="D197">
        <v>124</v>
      </c>
      <c r="E197" t="s">
        <v>847</v>
      </c>
      <c r="F197" t="s">
        <v>848</v>
      </c>
      <c r="G197">
        <v>1.2365636642223E-2</v>
      </c>
      <c r="H197" t="s">
        <v>42</v>
      </c>
      <c r="I197" t="s">
        <v>337</v>
      </c>
      <c r="J197" t="s">
        <v>1650</v>
      </c>
    </row>
    <row r="198" spans="1:14" x14ac:dyDescent="0.2">
      <c r="A198">
        <v>0</v>
      </c>
      <c r="B198">
        <v>8.39974545676416E-4</v>
      </c>
      <c r="C198">
        <v>4</v>
      </c>
      <c r="D198">
        <v>238</v>
      </c>
      <c r="E198" t="s">
        <v>458</v>
      </c>
      <c r="F198" t="s">
        <v>459</v>
      </c>
      <c r="G198">
        <v>3.9543417073381999E-2</v>
      </c>
      <c r="H198" t="s">
        <v>42</v>
      </c>
      <c r="I198" t="s">
        <v>337</v>
      </c>
      <c r="J198" t="s">
        <v>1650</v>
      </c>
    </row>
    <row r="199" spans="1:14" x14ac:dyDescent="0.2">
      <c r="A199">
        <v>0</v>
      </c>
      <c r="B199">
        <v>2.3483924949948001E-7</v>
      </c>
      <c r="C199">
        <v>2</v>
      </c>
      <c r="D199">
        <v>110</v>
      </c>
      <c r="E199" t="s">
        <v>849</v>
      </c>
      <c r="F199" t="s">
        <v>850</v>
      </c>
      <c r="G199">
        <v>8.8444074273034902E-5</v>
      </c>
      <c r="H199" t="s">
        <v>42</v>
      </c>
      <c r="I199" t="s">
        <v>337</v>
      </c>
      <c r="J199" t="s">
        <v>1650</v>
      </c>
    </row>
    <row r="200" spans="1:14" x14ac:dyDescent="0.2">
      <c r="A200">
        <v>0</v>
      </c>
      <c r="B200">
        <v>5.5387984375714105E-4</v>
      </c>
      <c r="C200">
        <v>2</v>
      </c>
      <c r="D200">
        <v>257</v>
      </c>
      <c r="E200" t="s">
        <v>851</v>
      </c>
      <c r="F200" t="s">
        <v>852</v>
      </c>
      <c r="G200">
        <v>2.8545218052999598E-2</v>
      </c>
      <c r="H200" t="s">
        <v>42</v>
      </c>
      <c r="I200" t="s">
        <v>337</v>
      </c>
      <c r="J200" t="s">
        <v>1650</v>
      </c>
    </row>
    <row r="201" spans="1:14" x14ac:dyDescent="0.2">
      <c r="A201">
        <v>0</v>
      </c>
      <c r="B201">
        <v>3.59084862644776E-4</v>
      </c>
      <c r="C201">
        <v>2</v>
      </c>
      <c r="D201">
        <v>49</v>
      </c>
      <c r="E201" t="s">
        <v>853</v>
      </c>
      <c r="F201" t="s">
        <v>854</v>
      </c>
      <c r="G201">
        <v>2.09295177084384E-2</v>
      </c>
      <c r="H201" t="s">
        <v>42</v>
      </c>
      <c r="I201" t="s">
        <v>337</v>
      </c>
      <c r="J201" t="s">
        <v>1650</v>
      </c>
    </row>
    <row r="202" spans="1:14" x14ac:dyDescent="0.2">
      <c r="A202">
        <v>0</v>
      </c>
      <c r="B202">
        <v>5.1417847522999304E-6</v>
      </c>
      <c r="C202">
        <v>3</v>
      </c>
      <c r="D202">
        <v>36</v>
      </c>
      <c r="E202" t="s">
        <v>855</v>
      </c>
      <c r="F202" t="s">
        <v>856</v>
      </c>
      <c r="G202">
        <v>9.6823762104847897E-4</v>
      </c>
      <c r="H202" t="s">
        <v>42</v>
      </c>
      <c r="I202" t="s">
        <v>337</v>
      </c>
      <c r="J202" t="s">
        <v>1650</v>
      </c>
    </row>
    <row r="203" spans="1:14" x14ac:dyDescent="0.2">
      <c r="A203">
        <v>0</v>
      </c>
      <c r="B203">
        <v>9.2290588294845102E-4</v>
      </c>
      <c r="C203">
        <v>2</v>
      </c>
      <c r="D203">
        <v>302</v>
      </c>
      <c r="E203" t="s">
        <v>472</v>
      </c>
      <c r="F203" t="s">
        <v>473</v>
      </c>
      <c r="G203">
        <v>4.1258546955697001E-2</v>
      </c>
      <c r="H203" t="s">
        <v>42</v>
      </c>
      <c r="I203" t="s">
        <v>337</v>
      </c>
      <c r="J203" t="s">
        <v>1651</v>
      </c>
      <c r="N203" s="12"/>
    </row>
    <row r="204" spans="1:14" x14ac:dyDescent="0.2">
      <c r="A204">
        <v>0</v>
      </c>
      <c r="B204">
        <v>1.49995887525565E-6</v>
      </c>
      <c r="C204">
        <v>2</v>
      </c>
      <c r="D204">
        <v>150</v>
      </c>
      <c r="E204" t="s">
        <v>857</v>
      </c>
      <c r="F204" t="s">
        <v>858</v>
      </c>
      <c r="G204">
        <v>4.58987415828229E-4</v>
      </c>
      <c r="H204" t="s">
        <v>42</v>
      </c>
      <c r="I204" t="s">
        <v>337</v>
      </c>
      <c r="J204" t="s">
        <v>1659</v>
      </c>
    </row>
    <row r="205" spans="1:14" x14ac:dyDescent="0.2">
      <c r="A205">
        <v>0</v>
      </c>
      <c r="B205">
        <v>3.07726465897838E-5</v>
      </c>
      <c r="C205">
        <v>3</v>
      </c>
      <c r="D205">
        <v>32</v>
      </c>
      <c r="E205" t="s">
        <v>859</v>
      </c>
      <c r="F205" t="s">
        <v>860</v>
      </c>
      <c r="G205">
        <v>3.6747043342337002E-3</v>
      </c>
      <c r="H205" t="s">
        <v>42</v>
      </c>
      <c r="I205" t="s">
        <v>337</v>
      </c>
      <c r="J205" t="s">
        <v>1650</v>
      </c>
    </row>
    <row r="206" spans="1:14" x14ac:dyDescent="0.2">
      <c r="A206">
        <v>0</v>
      </c>
      <c r="B206">
        <v>7.8773332008964098E-4</v>
      </c>
      <c r="C206">
        <v>2</v>
      </c>
      <c r="D206">
        <v>10</v>
      </c>
      <c r="E206" t="s">
        <v>861</v>
      </c>
      <c r="F206" t="s">
        <v>862</v>
      </c>
      <c r="G206">
        <v>3.78111993643028E-2</v>
      </c>
      <c r="H206" t="s">
        <v>42</v>
      </c>
      <c r="I206" t="s">
        <v>337</v>
      </c>
      <c r="J206" t="s">
        <v>1650</v>
      </c>
    </row>
    <row r="207" spans="1:14" x14ac:dyDescent="0.2">
      <c r="A207">
        <v>0</v>
      </c>
      <c r="B207">
        <v>2.26515272841018E-7</v>
      </c>
      <c r="C207">
        <v>3</v>
      </c>
      <c r="D207">
        <v>3759</v>
      </c>
      <c r="E207" t="s">
        <v>674</v>
      </c>
      <c r="F207" t="s">
        <v>675</v>
      </c>
      <c r="G207">
        <v>8.8444074273034902E-5</v>
      </c>
      <c r="H207" t="s">
        <v>42</v>
      </c>
      <c r="I207" t="s">
        <v>337</v>
      </c>
      <c r="J207" t="s">
        <v>1650</v>
      </c>
    </row>
    <row r="208" spans="1:14" x14ac:dyDescent="0.2">
      <c r="A208">
        <v>0</v>
      </c>
      <c r="B208">
        <v>3.1638207877929399E-8</v>
      </c>
      <c r="C208">
        <v>2</v>
      </c>
      <c r="D208">
        <v>1164</v>
      </c>
      <c r="E208" t="s">
        <v>863</v>
      </c>
      <c r="F208" t="s">
        <v>864</v>
      </c>
      <c r="G208">
        <v>2.21286665386203E-5</v>
      </c>
      <c r="H208" t="s">
        <v>42</v>
      </c>
      <c r="I208" t="s">
        <v>337</v>
      </c>
      <c r="J208" t="s">
        <v>1650</v>
      </c>
    </row>
    <row r="209" spans="1:10" x14ac:dyDescent="0.2">
      <c r="A209">
        <v>0</v>
      </c>
      <c r="B209">
        <v>9.6269590869954103E-4</v>
      </c>
      <c r="C209">
        <v>2</v>
      </c>
      <c r="D209">
        <v>129</v>
      </c>
      <c r="E209" t="s">
        <v>865</v>
      </c>
      <c r="F209" t="s">
        <v>866</v>
      </c>
      <c r="G209">
        <v>4.2462695216152702E-2</v>
      </c>
      <c r="H209" t="s">
        <v>42</v>
      </c>
      <c r="I209" t="s">
        <v>337</v>
      </c>
      <c r="J209" t="s">
        <v>866</v>
      </c>
    </row>
    <row r="210" spans="1:10" x14ac:dyDescent="0.2">
      <c r="A210">
        <v>0</v>
      </c>
      <c r="B210">
        <v>1.3481010124090801E-4</v>
      </c>
      <c r="C210">
        <v>5</v>
      </c>
      <c r="D210">
        <v>736</v>
      </c>
      <c r="E210" t="s">
        <v>867</v>
      </c>
      <c r="F210" t="s">
        <v>868</v>
      </c>
      <c r="G210">
        <v>1.11869534860252E-2</v>
      </c>
      <c r="H210" t="s">
        <v>42</v>
      </c>
      <c r="I210" t="s">
        <v>337</v>
      </c>
      <c r="J210" t="s">
        <v>1650</v>
      </c>
    </row>
    <row r="211" spans="1:10" x14ac:dyDescent="0.2">
      <c r="A211">
        <v>0</v>
      </c>
      <c r="B211">
        <v>3.9978343610371802E-6</v>
      </c>
      <c r="C211">
        <v>2</v>
      </c>
      <c r="D211">
        <v>1258</v>
      </c>
      <c r="E211" t="s">
        <v>132</v>
      </c>
      <c r="F211" t="s">
        <v>133</v>
      </c>
      <c r="G211">
        <v>8.8969986507445595E-4</v>
      </c>
      <c r="H211" t="s">
        <v>42</v>
      </c>
      <c r="I211" t="s">
        <v>337</v>
      </c>
      <c r="J211" t="s">
        <v>1650</v>
      </c>
    </row>
    <row r="212" spans="1:10" x14ac:dyDescent="0.2">
      <c r="A212">
        <v>0</v>
      </c>
      <c r="B212">
        <v>2.8491562960901499E-4</v>
      </c>
      <c r="C212">
        <v>2</v>
      </c>
      <c r="D212">
        <v>47</v>
      </c>
      <c r="E212" t="s">
        <v>869</v>
      </c>
      <c r="F212" t="s">
        <v>870</v>
      </c>
      <c r="G212">
        <v>1.8116193799555001E-2</v>
      </c>
      <c r="H212" t="s">
        <v>42</v>
      </c>
      <c r="I212" t="s">
        <v>337</v>
      </c>
      <c r="J212" t="s">
        <v>1650</v>
      </c>
    </row>
    <row r="213" spans="1:10" x14ac:dyDescent="0.2">
      <c r="A213">
        <v>0</v>
      </c>
      <c r="B213">
        <v>4.5658240896568703E-9</v>
      </c>
      <c r="C213">
        <v>2</v>
      </c>
      <c r="D213">
        <v>1329</v>
      </c>
      <c r="E213" t="s">
        <v>871</v>
      </c>
      <c r="F213" t="s">
        <v>872</v>
      </c>
      <c r="G213">
        <v>5.5885686857400103E-6</v>
      </c>
      <c r="H213" t="s">
        <v>42</v>
      </c>
      <c r="I213" t="s">
        <v>337</v>
      </c>
      <c r="J213" t="s">
        <v>1650</v>
      </c>
    </row>
    <row r="214" spans="1:10" x14ac:dyDescent="0.2">
      <c r="A214">
        <v>0</v>
      </c>
      <c r="B214">
        <v>1.6304946725767499E-5</v>
      </c>
      <c r="C214">
        <v>2</v>
      </c>
      <c r="D214">
        <v>95</v>
      </c>
      <c r="E214" t="s">
        <v>873</v>
      </c>
      <c r="F214" t="s">
        <v>874</v>
      </c>
      <c r="G214">
        <v>2.21747275470438E-3</v>
      </c>
      <c r="H214" t="s">
        <v>42</v>
      </c>
      <c r="I214" t="s">
        <v>337</v>
      </c>
      <c r="J214" t="s">
        <v>1668</v>
      </c>
    </row>
    <row r="215" spans="1:10" x14ac:dyDescent="0.2">
      <c r="A215">
        <v>0</v>
      </c>
      <c r="B215">
        <v>7.8819190918913104E-5</v>
      </c>
      <c r="C215">
        <v>2</v>
      </c>
      <c r="D215">
        <v>1887</v>
      </c>
      <c r="E215" t="s">
        <v>686</v>
      </c>
      <c r="F215" t="s">
        <v>687</v>
      </c>
      <c r="G215">
        <v>7.1462733099814596E-3</v>
      </c>
      <c r="H215" t="s">
        <v>42</v>
      </c>
      <c r="I215" t="s">
        <v>337</v>
      </c>
      <c r="J215" t="s">
        <v>1650</v>
      </c>
    </row>
    <row r="216" spans="1:10" x14ac:dyDescent="0.2">
      <c r="A216">
        <v>0</v>
      </c>
      <c r="B216">
        <v>1.7900391653658E-5</v>
      </c>
      <c r="C216">
        <v>4</v>
      </c>
      <c r="D216">
        <v>59</v>
      </c>
      <c r="E216" t="s">
        <v>875</v>
      </c>
      <c r="F216" t="s">
        <v>876</v>
      </c>
      <c r="G216">
        <v>2.2471876291361402E-3</v>
      </c>
      <c r="H216" t="s">
        <v>42</v>
      </c>
      <c r="I216" t="s">
        <v>337</v>
      </c>
      <c r="J216" t="s">
        <v>1650</v>
      </c>
    </row>
    <row r="217" spans="1:10" x14ac:dyDescent="0.2">
      <c r="A217">
        <v>0</v>
      </c>
      <c r="B217">
        <v>1.16741606291693E-3</v>
      </c>
      <c r="C217">
        <v>4</v>
      </c>
      <c r="D217">
        <v>107</v>
      </c>
      <c r="E217" t="s">
        <v>877</v>
      </c>
      <c r="F217" t="s">
        <v>878</v>
      </c>
      <c r="G217">
        <v>4.8425485530614397E-2</v>
      </c>
      <c r="H217" t="s">
        <v>42</v>
      </c>
      <c r="I217" t="s">
        <v>337</v>
      </c>
      <c r="J217" t="s">
        <v>1650</v>
      </c>
    </row>
    <row r="218" spans="1:10" x14ac:dyDescent="0.2">
      <c r="A218">
        <v>0</v>
      </c>
      <c r="B218">
        <v>4.8626019189666801E-5</v>
      </c>
      <c r="C218">
        <v>2</v>
      </c>
      <c r="D218">
        <v>50</v>
      </c>
      <c r="E218" t="s">
        <v>879</v>
      </c>
      <c r="F218" t="s">
        <v>880</v>
      </c>
      <c r="G218">
        <v>5.2317392877318999E-3</v>
      </c>
      <c r="H218" t="s">
        <v>42</v>
      </c>
      <c r="I218" t="s">
        <v>337</v>
      </c>
      <c r="J218" t="s">
        <v>1650</v>
      </c>
    </row>
    <row r="219" spans="1:10" x14ac:dyDescent="0.2">
      <c r="A219">
        <v>0</v>
      </c>
      <c r="B219">
        <v>7.3542600983406698E-5</v>
      </c>
      <c r="C219">
        <v>3</v>
      </c>
      <c r="D219">
        <v>160</v>
      </c>
      <c r="E219" t="s">
        <v>881</v>
      </c>
      <c r="F219" t="s">
        <v>882</v>
      </c>
      <c r="G219">
        <v>6.7936712153728197E-3</v>
      </c>
      <c r="H219" t="s">
        <v>42</v>
      </c>
      <c r="I219" t="s">
        <v>337</v>
      </c>
      <c r="J219" t="s">
        <v>1650</v>
      </c>
    </row>
    <row r="220" spans="1:10" x14ac:dyDescent="0.2">
      <c r="A220">
        <v>0</v>
      </c>
      <c r="B220">
        <v>7.5692164495053105E-4</v>
      </c>
      <c r="C220">
        <v>3</v>
      </c>
      <c r="D220">
        <v>817</v>
      </c>
      <c r="E220" t="s">
        <v>883</v>
      </c>
      <c r="F220" t="s">
        <v>884</v>
      </c>
      <c r="G220">
        <v>3.6691964095819797E-2</v>
      </c>
      <c r="H220" t="s">
        <v>42</v>
      </c>
      <c r="I220" t="s">
        <v>337</v>
      </c>
      <c r="J220" t="s">
        <v>1650</v>
      </c>
    </row>
    <row r="221" spans="1:10" x14ac:dyDescent="0.2">
      <c r="A221">
        <v>0</v>
      </c>
      <c r="B221">
        <v>8.5440412410241998E-4</v>
      </c>
      <c r="C221">
        <v>6</v>
      </c>
      <c r="D221">
        <v>102</v>
      </c>
      <c r="E221" t="s">
        <v>885</v>
      </c>
      <c r="F221" t="s">
        <v>886</v>
      </c>
      <c r="G221">
        <v>3.9839643729575699E-2</v>
      </c>
      <c r="H221" t="s">
        <v>42</v>
      </c>
      <c r="I221" t="s">
        <v>337</v>
      </c>
      <c r="J221" t="s">
        <v>1650</v>
      </c>
    </row>
    <row r="222" spans="1:10" x14ac:dyDescent="0.2">
      <c r="A222">
        <v>0</v>
      </c>
      <c r="B222">
        <v>6.6589829383428806E-5</v>
      </c>
      <c r="C222">
        <v>3</v>
      </c>
      <c r="D222">
        <v>292</v>
      </c>
      <c r="E222" t="s">
        <v>887</v>
      </c>
      <c r="F222" t="s">
        <v>888</v>
      </c>
      <c r="G222">
        <v>6.2696885511782201E-3</v>
      </c>
      <c r="H222" t="s">
        <v>42</v>
      </c>
      <c r="I222" t="s">
        <v>337</v>
      </c>
      <c r="J222" t="s">
        <v>1650</v>
      </c>
    </row>
    <row r="223" spans="1:10" x14ac:dyDescent="0.2">
      <c r="A223">
        <v>0</v>
      </c>
      <c r="B223">
        <v>5.6898557783658003E-6</v>
      </c>
      <c r="C223">
        <v>2</v>
      </c>
      <c r="D223">
        <v>1956</v>
      </c>
      <c r="E223" t="s">
        <v>889</v>
      </c>
      <c r="F223" t="s">
        <v>890</v>
      </c>
      <c r="G223">
        <v>1.0317605144769999E-3</v>
      </c>
      <c r="H223" t="s">
        <v>42</v>
      </c>
      <c r="I223" t="s">
        <v>337</v>
      </c>
      <c r="J223" t="s">
        <v>1650</v>
      </c>
    </row>
    <row r="224" spans="1:10" x14ac:dyDescent="0.2">
      <c r="A224">
        <v>0</v>
      </c>
      <c r="B224">
        <v>1.94676530295784E-4</v>
      </c>
      <c r="C224">
        <v>3</v>
      </c>
      <c r="D224">
        <v>82</v>
      </c>
      <c r="E224" t="s">
        <v>891</v>
      </c>
      <c r="F224" t="s">
        <v>892</v>
      </c>
      <c r="G224">
        <v>1.38135694540313E-2</v>
      </c>
      <c r="H224" t="s">
        <v>42</v>
      </c>
      <c r="I224" t="s">
        <v>337</v>
      </c>
      <c r="J224" t="s">
        <v>1650</v>
      </c>
    </row>
    <row r="225" spans="1:10" x14ac:dyDescent="0.2">
      <c r="A225">
        <v>0</v>
      </c>
      <c r="B225">
        <v>1.03441044075035E-7</v>
      </c>
      <c r="C225">
        <v>2</v>
      </c>
      <c r="D225">
        <v>597</v>
      </c>
      <c r="E225" t="s">
        <v>480</v>
      </c>
      <c r="F225" t="s">
        <v>481</v>
      </c>
      <c r="G225">
        <v>6.1133651526999004E-5</v>
      </c>
      <c r="H225" t="s">
        <v>42</v>
      </c>
      <c r="I225" t="s">
        <v>337</v>
      </c>
      <c r="J225" t="s">
        <v>1650</v>
      </c>
    </row>
    <row r="226" spans="1:10" x14ac:dyDescent="0.2">
      <c r="A226">
        <v>0</v>
      </c>
      <c r="B226">
        <v>3.4780915917305199E-4</v>
      </c>
      <c r="C226">
        <v>3</v>
      </c>
      <c r="D226">
        <v>2712</v>
      </c>
      <c r="E226" t="s">
        <v>564</v>
      </c>
      <c r="F226" t="s">
        <v>565</v>
      </c>
      <c r="G226">
        <v>2.0766751747698299E-2</v>
      </c>
      <c r="H226" t="s">
        <v>42</v>
      </c>
      <c r="I226" t="s">
        <v>337</v>
      </c>
      <c r="J226" t="s">
        <v>1650</v>
      </c>
    </row>
    <row r="227" spans="1:10" x14ac:dyDescent="0.2">
      <c r="A227">
        <v>0</v>
      </c>
      <c r="B227">
        <v>7.3091633845267698E-4</v>
      </c>
      <c r="C227">
        <v>2</v>
      </c>
      <c r="D227">
        <v>492</v>
      </c>
      <c r="E227" t="s">
        <v>893</v>
      </c>
      <c r="F227" t="s">
        <v>894</v>
      </c>
      <c r="G227">
        <v>3.57856639306431E-2</v>
      </c>
      <c r="H227" t="s">
        <v>42</v>
      </c>
      <c r="I227" t="s">
        <v>337</v>
      </c>
      <c r="J227" t="s">
        <v>1650</v>
      </c>
    </row>
    <row r="228" spans="1:10" x14ac:dyDescent="0.2">
      <c r="A228">
        <v>0</v>
      </c>
      <c r="B228">
        <v>1.01646205605531E-3</v>
      </c>
      <c r="C228">
        <v>2</v>
      </c>
      <c r="D228">
        <v>40</v>
      </c>
      <c r="E228" t="s">
        <v>895</v>
      </c>
      <c r="F228" t="s">
        <v>896</v>
      </c>
      <c r="G228">
        <v>4.3654370407427999E-2</v>
      </c>
      <c r="H228" t="s">
        <v>42</v>
      </c>
      <c r="I228" t="s">
        <v>337</v>
      </c>
      <c r="J228" t="s">
        <v>1650</v>
      </c>
    </row>
    <row r="229" spans="1:10" x14ac:dyDescent="0.2">
      <c r="A229">
        <v>0</v>
      </c>
      <c r="B229">
        <v>2.6155057802105999E-4</v>
      </c>
      <c r="C229">
        <v>5</v>
      </c>
      <c r="D229">
        <v>422</v>
      </c>
      <c r="E229" t="s">
        <v>708</v>
      </c>
      <c r="F229" t="s">
        <v>709</v>
      </c>
      <c r="G229">
        <v>1.7541803150563098E-2</v>
      </c>
      <c r="H229" t="s">
        <v>42</v>
      </c>
      <c r="I229" t="s">
        <v>337</v>
      </c>
      <c r="J229" t="s">
        <v>1650</v>
      </c>
    </row>
    <row r="230" spans="1:10" x14ac:dyDescent="0.2">
      <c r="A230">
        <v>0</v>
      </c>
      <c r="B230">
        <v>4.7960250140353401E-4</v>
      </c>
      <c r="C230">
        <v>2</v>
      </c>
      <c r="D230">
        <v>794</v>
      </c>
      <c r="E230" t="s">
        <v>897</v>
      </c>
      <c r="F230" t="s">
        <v>898</v>
      </c>
      <c r="G230">
        <v>2.55231939877359E-2</v>
      </c>
      <c r="H230" t="s">
        <v>42</v>
      </c>
      <c r="I230" t="s">
        <v>337</v>
      </c>
      <c r="J230" t="s">
        <v>1650</v>
      </c>
    </row>
    <row r="231" spans="1:10" x14ac:dyDescent="0.2">
      <c r="A231">
        <v>0</v>
      </c>
      <c r="B231">
        <v>1.8929229995462401E-5</v>
      </c>
      <c r="C231">
        <v>3</v>
      </c>
      <c r="D231">
        <v>934</v>
      </c>
      <c r="E231" t="s">
        <v>899</v>
      </c>
      <c r="F231" t="s">
        <v>900</v>
      </c>
      <c r="G231">
        <v>2.3169377514445999E-3</v>
      </c>
      <c r="H231" t="s">
        <v>42</v>
      </c>
      <c r="I231" t="s">
        <v>337</v>
      </c>
      <c r="J231" t="s">
        <v>1650</v>
      </c>
    </row>
    <row r="232" spans="1:10" x14ac:dyDescent="0.2">
      <c r="A232">
        <v>0</v>
      </c>
      <c r="B232">
        <v>1.01646205605531E-3</v>
      </c>
      <c r="C232">
        <v>5</v>
      </c>
      <c r="D232">
        <v>40</v>
      </c>
      <c r="E232" t="s">
        <v>901</v>
      </c>
      <c r="F232" t="s">
        <v>902</v>
      </c>
      <c r="G232">
        <v>4.3654370407427999E-2</v>
      </c>
      <c r="H232" t="s">
        <v>42</v>
      </c>
      <c r="I232" t="s">
        <v>337</v>
      </c>
      <c r="J232" t="s">
        <v>1650</v>
      </c>
    </row>
    <row r="233" spans="1:10" x14ac:dyDescent="0.2">
      <c r="A233">
        <v>0</v>
      </c>
      <c r="B233">
        <v>1.7900391653658E-5</v>
      </c>
      <c r="C233">
        <v>2</v>
      </c>
      <c r="D233">
        <v>59</v>
      </c>
      <c r="E233" t="s">
        <v>903</v>
      </c>
      <c r="F233" t="s">
        <v>904</v>
      </c>
      <c r="G233">
        <v>2.2471876291361402E-3</v>
      </c>
      <c r="H233" t="s">
        <v>42</v>
      </c>
      <c r="I233" t="s">
        <v>337</v>
      </c>
      <c r="J233" t="s">
        <v>1650</v>
      </c>
    </row>
    <row r="234" spans="1:10" x14ac:dyDescent="0.2">
      <c r="A234">
        <v>0</v>
      </c>
      <c r="B234">
        <v>8.0576088620586096E-4</v>
      </c>
      <c r="C234">
        <v>2</v>
      </c>
      <c r="D234">
        <v>78</v>
      </c>
      <c r="E234" t="s">
        <v>905</v>
      </c>
      <c r="F234" t="s">
        <v>906</v>
      </c>
      <c r="G234">
        <v>3.8301022319066902E-2</v>
      </c>
      <c r="H234" t="s">
        <v>42</v>
      </c>
      <c r="I234" t="s">
        <v>337</v>
      </c>
      <c r="J234" t="s">
        <v>1650</v>
      </c>
    </row>
    <row r="235" spans="1:10" x14ac:dyDescent="0.2">
      <c r="A235">
        <v>0</v>
      </c>
      <c r="B235">
        <v>4.1656539756089402E-5</v>
      </c>
      <c r="C235">
        <v>3</v>
      </c>
      <c r="D235">
        <v>862</v>
      </c>
      <c r="E235" t="s">
        <v>907</v>
      </c>
      <c r="F235" t="s">
        <v>908</v>
      </c>
      <c r="G235">
        <v>4.6487190884181798E-3</v>
      </c>
      <c r="H235" t="s">
        <v>42</v>
      </c>
      <c r="I235" t="s">
        <v>337</v>
      </c>
      <c r="J235" t="s">
        <v>1650</v>
      </c>
    </row>
    <row r="236" spans="1:10" x14ac:dyDescent="0.2">
      <c r="A236">
        <v>0</v>
      </c>
      <c r="B236">
        <v>1.0894757303206199E-5</v>
      </c>
      <c r="C236">
        <v>4</v>
      </c>
      <c r="D236">
        <v>132</v>
      </c>
      <c r="E236" t="s">
        <v>909</v>
      </c>
      <c r="F236" t="s">
        <v>910</v>
      </c>
      <c r="G236">
        <v>1.77802439188325E-3</v>
      </c>
      <c r="H236" t="s">
        <v>42</v>
      </c>
      <c r="I236" t="s">
        <v>337</v>
      </c>
      <c r="J236" t="s">
        <v>1650</v>
      </c>
    </row>
    <row r="237" spans="1:10" x14ac:dyDescent="0.2">
      <c r="A237">
        <v>0</v>
      </c>
      <c r="B237">
        <v>1.6164230904866701E-4</v>
      </c>
      <c r="C237">
        <v>2</v>
      </c>
      <c r="D237">
        <v>15</v>
      </c>
      <c r="E237" t="s">
        <v>911</v>
      </c>
      <c r="F237" t="s">
        <v>912</v>
      </c>
      <c r="G237">
        <v>1.2365636642223E-2</v>
      </c>
      <c r="H237" t="s">
        <v>42</v>
      </c>
      <c r="I237" t="s">
        <v>337</v>
      </c>
      <c r="J237" t="s">
        <v>1650</v>
      </c>
    </row>
    <row r="238" spans="1:10" x14ac:dyDescent="0.2">
      <c r="A238">
        <v>0</v>
      </c>
      <c r="B238">
        <v>5.4255187444992601E-5</v>
      </c>
      <c r="C238">
        <v>2</v>
      </c>
      <c r="D238">
        <v>22</v>
      </c>
      <c r="E238" t="s">
        <v>913</v>
      </c>
      <c r="F238" t="s">
        <v>914</v>
      </c>
      <c r="G238">
        <v>5.3413040507745901E-3</v>
      </c>
      <c r="H238" t="s">
        <v>42</v>
      </c>
      <c r="I238" t="s">
        <v>337</v>
      </c>
      <c r="J238" t="s">
        <v>1650</v>
      </c>
    </row>
    <row r="239" spans="1:10" x14ac:dyDescent="0.2">
      <c r="A239">
        <v>0</v>
      </c>
      <c r="B239">
        <v>4.95107583560574E-6</v>
      </c>
      <c r="C239">
        <v>2</v>
      </c>
      <c r="D239">
        <v>745</v>
      </c>
      <c r="E239" t="s">
        <v>915</v>
      </c>
      <c r="F239" t="s">
        <v>916</v>
      </c>
      <c r="G239">
        <v>9.6823762104847897E-4</v>
      </c>
      <c r="H239" t="s">
        <v>42</v>
      </c>
      <c r="I239" t="s">
        <v>337</v>
      </c>
      <c r="J239" t="s">
        <v>1650</v>
      </c>
    </row>
    <row r="240" spans="1:10" x14ac:dyDescent="0.2">
      <c r="A240">
        <v>0</v>
      </c>
      <c r="B240">
        <v>5.0222987443504799E-5</v>
      </c>
      <c r="C240">
        <v>4</v>
      </c>
      <c r="D240">
        <v>314</v>
      </c>
      <c r="E240" t="s">
        <v>917</v>
      </c>
      <c r="F240" t="s">
        <v>918</v>
      </c>
      <c r="G240">
        <v>5.2317392877318999E-3</v>
      </c>
      <c r="H240" t="s">
        <v>42</v>
      </c>
      <c r="I240" t="s">
        <v>337</v>
      </c>
      <c r="J240" t="s">
        <v>1650</v>
      </c>
    </row>
    <row r="241" spans="1:10" x14ac:dyDescent="0.2">
      <c r="A241">
        <v>0</v>
      </c>
      <c r="B241">
        <v>2.8491562960901499E-4</v>
      </c>
      <c r="C241">
        <v>2</v>
      </c>
      <c r="D241">
        <v>47</v>
      </c>
      <c r="E241" t="s">
        <v>919</v>
      </c>
      <c r="F241" t="s">
        <v>920</v>
      </c>
      <c r="G241">
        <v>1.8116193799555001E-2</v>
      </c>
      <c r="H241" t="s">
        <v>42</v>
      </c>
      <c r="I241" t="s">
        <v>337</v>
      </c>
      <c r="J241" t="s">
        <v>1650</v>
      </c>
    </row>
    <row r="242" spans="1:10" x14ac:dyDescent="0.2">
      <c r="A242">
        <v>0</v>
      </c>
      <c r="B242">
        <v>2.4197309201870899E-6</v>
      </c>
      <c r="C242">
        <v>3</v>
      </c>
      <c r="D242">
        <v>1791</v>
      </c>
      <c r="E242" t="s">
        <v>735</v>
      </c>
      <c r="F242" t="s">
        <v>736</v>
      </c>
      <c r="G242">
        <v>6.4614424005925001E-4</v>
      </c>
      <c r="H242" t="s">
        <v>42</v>
      </c>
      <c r="I242" t="s">
        <v>337</v>
      </c>
      <c r="J242" t="s">
        <v>1650</v>
      </c>
    </row>
    <row r="243" spans="1:10" x14ac:dyDescent="0.2">
      <c r="A243">
        <v>0</v>
      </c>
      <c r="B243">
        <v>3.7990938598824901E-4</v>
      </c>
      <c r="C243">
        <v>2</v>
      </c>
      <c r="D243">
        <v>277</v>
      </c>
      <c r="E243" t="s">
        <v>921</v>
      </c>
      <c r="F243" t="s">
        <v>922</v>
      </c>
      <c r="G243">
        <v>2.1628329695330999E-2</v>
      </c>
      <c r="H243" t="s">
        <v>42</v>
      </c>
      <c r="I243" t="s">
        <v>337</v>
      </c>
      <c r="J243" t="s">
        <v>1650</v>
      </c>
    </row>
    <row r="244" spans="1:10" x14ac:dyDescent="0.2">
      <c r="A244">
        <v>0</v>
      </c>
      <c r="B244">
        <v>1.1770083288690999E-3</v>
      </c>
      <c r="C244">
        <v>3</v>
      </c>
      <c r="D244">
        <v>408</v>
      </c>
      <c r="E244" t="s">
        <v>486</v>
      </c>
      <c r="F244" t="s">
        <v>487</v>
      </c>
      <c r="G244">
        <v>4.8425485530614397E-2</v>
      </c>
      <c r="H244" t="s">
        <v>42</v>
      </c>
      <c r="I244" t="s">
        <v>337</v>
      </c>
      <c r="J244" t="s">
        <v>1650</v>
      </c>
    </row>
    <row r="245" spans="1:10" x14ac:dyDescent="0.2">
      <c r="A245">
        <v>0</v>
      </c>
      <c r="B245">
        <v>9.3312264475171598E-6</v>
      </c>
      <c r="C245">
        <v>5</v>
      </c>
      <c r="D245">
        <v>109</v>
      </c>
      <c r="E245" t="s">
        <v>488</v>
      </c>
      <c r="F245" t="s">
        <v>489</v>
      </c>
      <c r="G245">
        <v>1.5753684374842801E-3</v>
      </c>
      <c r="H245" t="s">
        <v>42</v>
      </c>
      <c r="I245" t="s">
        <v>337</v>
      </c>
      <c r="J245" t="s">
        <v>1650</v>
      </c>
    </row>
    <row r="246" spans="1:10" x14ac:dyDescent="0.2">
      <c r="A246">
        <v>0</v>
      </c>
      <c r="B246">
        <v>1.1378351815258801E-4</v>
      </c>
      <c r="C246">
        <v>3</v>
      </c>
      <c r="D246">
        <v>764</v>
      </c>
      <c r="E246" t="s">
        <v>923</v>
      </c>
      <c r="F246" t="s">
        <v>924</v>
      </c>
      <c r="G246">
        <v>9.6048983599150203E-3</v>
      </c>
      <c r="H246" t="s">
        <v>42</v>
      </c>
      <c r="I246" t="s">
        <v>337</v>
      </c>
      <c r="J246" t="s">
        <v>1650</v>
      </c>
    </row>
    <row r="247" spans="1:10" x14ac:dyDescent="0.2">
      <c r="A247">
        <v>0</v>
      </c>
      <c r="B247">
        <v>1.8389836914546999E-4</v>
      </c>
      <c r="C247">
        <v>2</v>
      </c>
      <c r="D247">
        <v>28</v>
      </c>
      <c r="E247" t="s">
        <v>925</v>
      </c>
      <c r="F247" t="s">
        <v>926</v>
      </c>
      <c r="G247">
        <v>1.3609091646030001E-2</v>
      </c>
      <c r="H247" t="s">
        <v>42</v>
      </c>
      <c r="I247" t="s">
        <v>337</v>
      </c>
      <c r="J247" t="s">
        <v>1650</v>
      </c>
    </row>
    <row r="248" spans="1:10" x14ac:dyDescent="0.2">
      <c r="A248">
        <v>0</v>
      </c>
      <c r="B248">
        <v>4.7300776372469601E-4</v>
      </c>
      <c r="C248">
        <v>6</v>
      </c>
      <c r="D248">
        <v>34</v>
      </c>
      <c r="E248" t="s">
        <v>927</v>
      </c>
      <c r="F248" t="s">
        <v>928</v>
      </c>
      <c r="G248">
        <v>2.54488572658913E-2</v>
      </c>
      <c r="H248" t="s">
        <v>42</v>
      </c>
      <c r="I248" t="s">
        <v>337</v>
      </c>
      <c r="J248" t="s">
        <v>1650</v>
      </c>
    </row>
    <row r="249" spans="1:10" x14ac:dyDescent="0.2">
      <c r="A249">
        <v>0</v>
      </c>
      <c r="B249">
        <v>5.1034504184542797E-6</v>
      </c>
      <c r="C249">
        <v>3</v>
      </c>
      <c r="D249">
        <v>144</v>
      </c>
      <c r="E249" t="s">
        <v>929</v>
      </c>
      <c r="F249" t="s">
        <v>930</v>
      </c>
      <c r="G249">
        <v>9.6823762104847897E-4</v>
      </c>
      <c r="H249" t="s">
        <v>42</v>
      </c>
      <c r="I249" t="s">
        <v>337</v>
      </c>
      <c r="J249" t="s">
        <v>1668</v>
      </c>
    </row>
    <row r="250" spans="1:10" x14ac:dyDescent="0.2">
      <c r="A250">
        <v>0</v>
      </c>
      <c r="B250">
        <v>1.4745073285449899E-9</v>
      </c>
      <c r="C250">
        <v>2</v>
      </c>
      <c r="D250">
        <v>2202</v>
      </c>
      <c r="E250" t="s">
        <v>747</v>
      </c>
      <c r="F250" t="s">
        <v>748</v>
      </c>
      <c r="G250">
        <v>3.60959394027814E-6</v>
      </c>
      <c r="H250" t="s">
        <v>42</v>
      </c>
      <c r="I250" t="s">
        <v>337</v>
      </c>
      <c r="J250" t="s">
        <v>1650</v>
      </c>
    </row>
    <row r="251" spans="1:10" x14ac:dyDescent="0.2">
      <c r="A251">
        <v>0</v>
      </c>
      <c r="B251">
        <v>6.5524816062316005E-4</v>
      </c>
      <c r="C251">
        <v>2</v>
      </c>
      <c r="D251">
        <v>592</v>
      </c>
      <c r="E251" t="s">
        <v>931</v>
      </c>
      <c r="F251" t="s">
        <v>932</v>
      </c>
      <c r="G251">
        <v>3.2404999943545398E-2</v>
      </c>
      <c r="H251" t="s">
        <v>42</v>
      </c>
      <c r="I251" t="s">
        <v>337</v>
      </c>
      <c r="J251" t="s">
        <v>1650</v>
      </c>
    </row>
    <row r="252" spans="1:10" x14ac:dyDescent="0.2">
      <c r="A252">
        <v>0</v>
      </c>
      <c r="B252">
        <v>1.4500804397362099E-4</v>
      </c>
      <c r="C252">
        <v>4</v>
      </c>
      <c r="D252">
        <v>500</v>
      </c>
      <c r="E252" t="s">
        <v>933</v>
      </c>
      <c r="F252" t="s">
        <v>934</v>
      </c>
      <c r="G252">
        <v>1.16386784146696E-2</v>
      </c>
      <c r="H252" t="s">
        <v>42</v>
      </c>
      <c r="I252" t="s">
        <v>337</v>
      </c>
      <c r="J252" t="s">
        <v>1650</v>
      </c>
    </row>
    <row r="253" spans="1:10" x14ac:dyDescent="0.2">
      <c r="A253">
        <v>0</v>
      </c>
      <c r="B253">
        <v>2.9474662626140999E-9</v>
      </c>
      <c r="C253">
        <v>2</v>
      </c>
      <c r="D253">
        <v>461</v>
      </c>
      <c r="E253" t="s">
        <v>935</v>
      </c>
      <c r="F253" t="s">
        <v>936</v>
      </c>
      <c r="G253">
        <v>4.8102649405862101E-6</v>
      </c>
      <c r="H253" t="s">
        <v>42</v>
      </c>
      <c r="I253" t="s">
        <v>337</v>
      </c>
      <c r="J253" t="s">
        <v>1650</v>
      </c>
    </row>
    <row r="254" spans="1:10" x14ac:dyDescent="0.2">
      <c r="A254">
        <v>0</v>
      </c>
      <c r="B254">
        <v>1.16741606291693E-3</v>
      </c>
      <c r="C254">
        <v>2</v>
      </c>
      <c r="D254">
        <v>107</v>
      </c>
      <c r="E254" t="s">
        <v>937</v>
      </c>
      <c r="F254" t="s">
        <v>938</v>
      </c>
      <c r="G254">
        <v>4.8425485530614397E-2</v>
      </c>
      <c r="H254" t="s">
        <v>42</v>
      </c>
      <c r="I254" t="s">
        <v>337</v>
      </c>
      <c r="J254" t="s">
        <v>1650</v>
      </c>
    </row>
    <row r="255" spans="1:10" x14ac:dyDescent="0.2">
      <c r="A255">
        <v>0</v>
      </c>
      <c r="B255">
        <v>1.3914772653917401E-4</v>
      </c>
      <c r="C255">
        <v>3</v>
      </c>
      <c r="D255">
        <v>6</v>
      </c>
      <c r="E255" t="s">
        <v>939</v>
      </c>
      <c r="F255" t="s">
        <v>940</v>
      </c>
      <c r="G255">
        <v>1.1354454485596599E-2</v>
      </c>
      <c r="H255" t="s">
        <v>42</v>
      </c>
      <c r="I255" t="s">
        <v>337</v>
      </c>
      <c r="J255" t="s">
        <v>1650</v>
      </c>
    </row>
    <row r="256" spans="1:10" x14ac:dyDescent="0.2">
      <c r="A256">
        <v>0</v>
      </c>
      <c r="B256">
        <v>1.77624695025982E-5</v>
      </c>
      <c r="C256">
        <v>2</v>
      </c>
      <c r="D256">
        <v>1220</v>
      </c>
      <c r="E256" t="s">
        <v>224</v>
      </c>
      <c r="F256" t="s">
        <v>225</v>
      </c>
      <c r="G256">
        <v>2.2471876291361402E-3</v>
      </c>
      <c r="H256" t="s">
        <v>42</v>
      </c>
      <c r="I256" t="s">
        <v>337</v>
      </c>
      <c r="J256" t="s">
        <v>1650</v>
      </c>
    </row>
    <row r="257" spans="1:10" x14ac:dyDescent="0.2">
      <c r="A257">
        <v>0</v>
      </c>
      <c r="B257">
        <v>3.7844052296862502E-4</v>
      </c>
      <c r="C257">
        <v>5</v>
      </c>
      <c r="D257">
        <v>8</v>
      </c>
      <c r="E257" t="s">
        <v>941</v>
      </c>
      <c r="F257" t="s">
        <v>942</v>
      </c>
      <c r="G257">
        <v>2.1628329695330999E-2</v>
      </c>
      <c r="H257" t="s">
        <v>42</v>
      </c>
      <c r="I257" t="s">
        <v>337</v>
      </c>
      <c r="J257" t="s">
        <v>1667</v>
      </c>
    </row>
    <row r="258" spans="1:10" x14ac:dyDescent="0.2">
      <c r="A258">
        <v>0</v>
      </c>
      <c r="B258">
        <v>1.8623552701879301E-4</v>
      </c>
      <c r="C258">
        <v>2</v>
      </c>
      <c r="D258">
        <v>858</v>
      </c>
      <c r="E258" t="s">
        <v>943</v>
      </c>
      <c r="F258" t="s">
        <v>944</v>
      </c>
      <c r="G258">
        <v>1.3609091646030001E-2</v>
      </c>
      <c r="H258" t="s">
        <v>42</v>
      </c>
      <c r="I258" t="s">
        <v>337</v>
      </c>
      <c r="J258" t="s">
        <v>1650</v>
      </c>
    </row>
    <row r="259" spans="1:10" x14ac:dyDescent="0.2">
      <c r="A259">
        <v>0</v>
      </c>
      <c r="B259">
        <v>3.0302204806092998E-4</v>
      </c>
      <c r="C259">
        <v>2</v>
      </c>
      <c r="D259">
        <v>31</v>
      </c>
      <c r="E259" t="s">
        <v>945</v>
      </c>
      <c r="F259" t="s">
        <v>946</v>
      </c>
      <c r="G259">
        <v>1.8558831307729399E-2</v>
      </c>
      <c r="H259" t="s">
        <v>42</v>
      </c>
      <c r="I259" t="s">
        <v>337</v>
      </c>
      <c r="J259" t="s">
        <v>1659</v>
      </c>
    </row>
    <row r="260" spans="1:10" x14ac:dyDescent="0.2">
      <c r="A260">
        <v>0</v>
      </c>
      <c r="B260">
        <v>3.0324887757727701E-4</v>
      </c>
      <c r="C260">
        <v>2</v>
      </c>
      <c r="D260">
        <v>595</v>
      </c>
      <c r="E260" t="s">
        <v>947</v>
      </c>
      <c r="F260" t="s">
        <v>948</v>
      </c>
      <c r="G260">
        <v>1.8558831307729399E-2</v>
      </c>
      <c r="H260" t="s">
        <v>42</v>
      </c>
      <c r="I260" t="s">
        <v>337</v>
      </c>
      <c r="J260" t="s">
        <v>1650</v>
      </c>
    </row>
    <row r="261" spans="1:10" x14ac:dyDescent="0.2">
      <c r="A261">
        <v>0</v>
      </c>
      <c r="B261">
        <v>9.8176972017610993E-7</v>
      </c>
      <c r="C261">
        <v>2</v>
      </c>
      <c r="D261">
        <v>1374</v>
      </c>
      <c r="E261" t="s">
        <v>498</v>
      </c>
      <c r="F261" t="s">
        <v>499</v>
      </c>
      <c r="G261">
        <v>3.4333889642730202E-4</v>
      </c>
      <c r="H261" t="s">
        <v>42</v>
      </c>
      <c r="I261" t="s">
        <v>337</v>
      </c>
      <c r="J261" t="s">
        <v>1650</v>
      </c>
    </row>
    <row r="262" spans="1:10" x14ac:dyDescent="0.2">
      <c r="A262">
        <v>0</v>
      </c>
      <c r="B262">
        <v>5.54247332463636E-5</v>
      </c>
      <c r="C262">
        <v>3</v>
      </c>
      <c r="D262">
        <v>51</v>
      </c>
      <c r="E262" t="s">
        <v>949</v>
      </c>
      <c r="F262" t="s">
        <v>950</v>
      </c>
      <c r="G262">
        <v>5.3413040507745901E-3</v>
      </c>
      <c r="H262" t="s">
        <v>42</v>
      </c>
      <c r="I262" t="s">
        <v>337</v>
      </c>
      <c r="J262" t="s">
        <v>1651</v>
      </c>
    </row>
    <row r="263" spans="1:10" x14ac:dyDescent="0.2">
      <c r="A263">
        <v>0</v>
      </c>
      <c r="B263">
        <v>1.3015909411721101E-7</v>
      </c>
      <c r="C263">
        <v>5</v>
      </c>
      <c r="D263">
        <v>603</v>
      </c>
      <c r="E263" t="s">
        <v>951</v>
      </c>
      <c r="F263" t="s">
        <v>952</v>
      </c>
      <c r="G263">
        <v>6.1133651526999004E-5</v>
      </c>
      <c r="H263" t="s">
        <v>42</v>
      </c>
      <c r="I263" t="s">
        <v>337</v>
      </c>
      <c r="J263" t="s">
        <v>1650</v>
      </c>
    </row>
    <row r="264" spans="1:10" x14ac:dyDescent="0.2">
      <c r="A264">
        <v>0</v>
      </c>
      <c r="B264">
        <v>1.3735093276082301E-7</v>
      </c>
      <c r="C264">
        <v>2</v>
      </c>
      <c r="D264">
        <v>14</v>
      </c>
      <c r="E264" t="s">
        <v>635</v>
      </c>
      <c r="F264" t="s">
        <v>636</v>
      </c>
      <c r="G264">
        <v>6.1133651526999004E-5</v>
      </c>
      <c r="H264" t="s">
        <v>42</v>
      </c>
      <c r="I264" t="s">
        <v>337</v>
      </c>
      <c r="J264" t="s">
        <v>1650</v>
      </c>
    </row>
    <row r="265" spans="1:10" x14ac:dyDescent="0.2">
      <c r="A265">
        <v>0</v>
      </c>
      <c r="B265">
        <v>4.9502805330352699E-5</v>
      </c>
      <c r="C265">
        <v>2</v>
      </c>
      <c r="D265">
        <v>529</v>
      </c>
      <c r="E265" t="s">
        <v>500</v>
      </c>
      <c r="F265" t="s">
        <v>501</v>
      </c>
      <c r="G265">
        <v>5.2317392877318999E-3</v>
      </c>
      <c r="H265" t="s">
        <v>42</v>
      </c>
      <c r="I265" t="s">
        <v>337</v>
      </c>
      <c r="J265" t="s">
        <v>1664</v>
      </c>
    </row>
    <row r="266" spans="1:10" x14ac:dyDescent="0.2">
      <c r="A266">
        <v>0</v>
      </c>
      <c r="B266">
        <v>1.23039762217408E-5</v>
      </c>
      <c r="C266">
        <v>2</v>
      </c>
      <c r="D266">
        <v>1538</v>
      </c>
      <c r="E266" t="s">
        <v>775</v>
      </c>
      <c r="F266" t="s">
        <v>776</v>
      </c>
      <c r="G266">
        <v>1.9273624442098299E-3</v>
      </c>
      <c r="H266" t="s">
        <v>42</v>
      </c>
      <c r="I266" t="s">
        <v>337</v>
      </c>
      <c r="J266" t="s">
        <v>1650</v>
      </c>
    </row>
    <row r="267" spans="1:10" x14ac:dyDescent="0.2">
      <c r="A267">
        <v>0</v>
      </c>
      <c r="B267">
        <v>3.3657949757410599E-6</v>
      </c>
      <c r="C267">
        <v>2</v>
      </c>
      <c r="D267">
        <v>1214</v>
      </c>
      <c r="E267" t="s">
        <v>777</v>
      </c>
      <c r="F267" t="s">
        <v>778</v>
      </c>
      <c r="G267">
        <v>8.0753474022550301E-4</v>
      </c>
      <c r="H267" t="s">
        <v>42</v>
      </c>
      <c r="I267" t="s">
        <v>337</v>
      </c>
      <c r="J267" t="s">
        <v>1650</v>
      </c>
    </row>
    <row r="268" spans="1:10" x14ac:dyDescent="0.2">
      <c r="A268">
        <v>0</v>
      </c>
      <c r="B268">
        <v>2.2350771098348101E-4</v>
      </c>
      <c r="C268">
        <v>3</v>
      </c>
      <c r="D268">
        <v>180</v>
      </c>
      <c r="E268" t="s">
        <v>953</v>
      </c>
      <c r="F268" t="s">
        <v>954</v>
      </c>
      <c r="G268">
        <v>1.5225607002473E-2</v>
      </c>
      <c r="H268" t="s">
        <v>42</v>
      </c>
      <c r="I268" t="s">
        <v>337</v>
      </c>
      <c r="J268" t="s">
        <v>1650</v>
      </c>
    </row>
    <row r="269" spans="1:10" x14ac:dyDescent="0.2">
      <c r="A269">
        <v>0</v>
      </c>
      <c r="B269">
        <v>1.01646205605531E-3</v>
      </c>
      <c r="C269">
        <v>2</v>
      </c>
      <c r="D269">
        <v>40</v>
      </c>
      <c r="E269" t="s">
        <v>955</v>
      </c>
      <c r="F269" t="s">
        <v>956</v>
      </c>
      <c r="G269">
        <v>4.3654370407427999E-2</v>
      </c>
      <c r="H269" t="s">
        <v>42</v>
      </c>
      <c r="I269" t="s">
        <v>337</v>
      </c>
      <c r="J269" t="s">
        <v>1650</v>
      </c>
    </row>
    <row r="270" spans="1:10" x14ac:dyDescent="0.2">
      <c r="A270">
        <v>0</v>
      </c>
      <c r="B270">
        <v>1.5968005700364799E-4</v>
      </c>
      <c r="C270">
        <v>3</v>
      </c>
      <c r="D270">
        <v>200</v>
      </c>
      <c r="E270" t="s">
        <v>957</v>
      </c>
      <c r="F270" t="s">
        <v>958</v>
      </c>
      <c r="G270">
        <v>1.2365636642223E-2</v>
      </c>
      <c r="H270" t="s">
        <v>42</v>
      </c>
      <c r="I270" t="s">
        <v>337</v>
      </c>
      <c r="J270" t="s">
        <v>1650</v>
      </c>
    </row>
    <row r="271" spans="1:10" x14ac:dyDescent="0.2">
      <c r="A271">
        <v>0</v>
      </c>
      <c r="B271">
        <v>5.2279591636265595E-4</v>
      </c>
      <c r="C271">
        <v>2</v>
      </c>
      <c r="D271">
        <v>3714</v>
      </c>
      <c r="E271" t="s">
        <v>94</v>
      </c>
      <c r="F271" t="s">
        <v>95</v>
      </c>
      <c r="G271">
        <v>2.7229880920335799E-2</v>
      </c>
      <c r="H271" t="s">
        <v>42</v>
      </c>
      <c r="I271" t="s">
        <v>337</v>
      </c>
      <c r="J271" t="s">
        <v>1650</v>
      </c>
    </row>
    <row r="272" spans="1:10" x14ac:dyDescent="0.2">
      <c r="A272">
        <v>0</v>
      </c>
      <c r="B272">
        <v>1.5726125301340601E-5</v>
      </c>
      <c r="C272">
        <v>2</v>
      </c>
      <c r="D272">
        <v>3848</v>
      </c>
      <c r="E272" t="s">
        <v>422</v>
      </c>
      <c r="F272" t="s">
        <v>423</v>
      </c>
      <c r="G272">
        <v>2.1998602707246702E-3</v>
      </c>
      <c r="H272" t="s">
        <v>42</v>
      </c>
      <c r="I272" t="s">
        <v>337</v>
      </c>
      <c r="J272" t="s">
        <v>1650</v>
      </c>
    </row>
    <row r="273" spans="1:10" x14ac:dyDescent="0.2">
      <c r="A273">
        <v>0</v>
      </c>
      <c r="B273">
        <v>2.23905985330486E-4</v>
      </c>
      <c r="C273">
        <v>2</v>
      </c>
      <c r="D273">
        <v>207</v>
      </c>
      <c r="E273" t="s">
        <v>959</v>
      </c>
      <c r="F273" t="s">
        <v>960</v>
      </c>
      <c r="G273">
        <v>1.5225607002473E-2</v>
      </c>
      <c r="H273" t="s">
        <v>42</v>
      </c>
      <c r="I273" t="s">
        <v>337</v>
      </c>
      <c r="J273" t="s">
        <v>1650</v>
      </c>
    </row>
    <row r="274" spans="1:10" x14ac:dyDescent="0.2">
      <c r="A274">
        <v>0</v>
      </c>
      <c r="B274">
        <v>9.4833254445190305E-5</v>
      </c>
      <c r="C274">
        <v>2</v>
      </c>
      <c r="D274">
        <v>827</v>
      </c>
      <c r="E274" t="s">
        <v>961</v>
      </c>
      <c r="F274" t="s">
        <v>962</v>
      </c>
      <c r="G274">
        <v>8.2911359600652094E-3</v>
      </c>
      <c r="H274" t="s">
        <v>42</v>
      </c>
      <c r="I274" t="s">
        <v>337</v>
      </c>
      <c r="J274" t="s">
        <v>1650</v>
      </c>
    </row>
    <row r="275" spans="1:10" x14ac:dyDescent="0.2">
      <c r="A275">
        <v>0</v>
      </c>
      <c r="B275">
        <v>1.2443881358383901E-7</v>
      </c>
      <c r="C275">
        <v>2</v>
      </c>
      <c r="D275">
        <v>3757</v>
      </c>
      <c r="E275" t="s">
        <v>787</v>
      </c>
      <c r="F275" t="s">
        <v>788</v>
      </c>
      <c r="G275">
        <v>6.1133651526999004E-5</v>
      </c>
      <c r="H275" t="s">
        <v>42</v>
      </c>
      <c r="I275" t="s">
        <v>337</v>
      </c>
      <c r="J275" t="s">
        <v>1650</v>
      </c>
    </row>
    <row r="276" spans="1:10" x14ac:dyDescent="0.2">
      <c r="A276">
        <v>0</v>
      </c>
      <c r="B276">
        <v>8.0032163285384293E-9</v>
      </c>
      <c r="C276">
        <v>2</v>
      </c>
      <c r="D276">
        <v>2626</v>
      </c>
      <c r="E276" t="s">
        <v>789</v>
      </c>
      <c r="F276" t="s">
        <v>790</v>
      </c>
      <c r="G276">
        <v>7.8367494289048294E-6</v>
      </c>
      <c r="H276" t="s">
        <v>42</v>
      </c>
      <c r="I276" t="s">
        <v>337</v>
      </c>
      <c r="J276" t="s">
        <v>1650</v>
      </c>
    </row>
    <row r="277" spans="1:10" x14ac:dyDescent="0.2">
      <c r="A277">
        <v>0</v>
      </c>
      <c r="B277">
        <v>2.5075041995763401E-6</v>
      </c>
      <c r="C277">
        <v>3</v>
      </c>
      <c r="D277">
        <v>990</v>
      </c>
      <c r="E277" t="s">
        <v>963</v>
      </c>
      <c r="F277" t="s">
        <v>964</v>
      </c>
      <c r="G277">
        <v>6.4614424005925001E-4</v>
      </c>
      <c r="H277" t="s">
        <v>42</v>
      </c>
      <c r="I277" t="s">
        <v>337</v>
      </c>
      <c r="J277" t="s">
        <v>1650</v>
      </c>
    </row>
    <row r="278" spans="1:10" x14ac:dyDescent="0.2">
      <c r="A278">
        <v>0</v>
      </c>
      <c r="B278">
        <v>3.1412902160910697E-8</v>
      </c>
      <c r="C278">
        <v>2</v>
      </c>
      <c r="D278">
        <v>2166</v>
      </c>
      <c r="E278" t="s">
        <v>256</v>
      </c>
      <c r="F278" t="s">
        <v>257</v>
      </c>
      <c r="G278">
        <v>2.21286665386203E-5</v>
      </c>
      <c r="H278" t="s">
        <v>42</v>
      </c>
      <c r="I278" t="s">
        <v>337</v>
      </c>
      <c r="J278" t="s">
        <v>1650</v>
      </c>
    </row>
    <row r="279" spans="1:10" x14ac:dyDescent="0.2">
      <c r="A279">
        <v>0</v>
      </c>
      <c r="B279">
        <v>5.0353631036987198E-6</v>
      </c>
      <c r="C279">
        <v>3</v>
      </c>
      <c r="D279">
        <v>1453</v>
      </c>
      <c r="E279" t="s">
        <v>965</v>
      </c>
      <c r="F279" t="s">
        <v>966</v>
      </c>
      <c r="G279">
        <v>9.6823762104847897E-4</v>
      </c>
      <c r="H279" t="s">
        <v>42</v>
      </c>
      <c r="I279" t="s">
        <v>337</v>
      </c>
      <c r="J279" t="s">
        <v>1650</v>
      </c>
    </row>
    <row r="280" spans="1:10" x14ac:dyDescent="0.2">
      <c r="A280">
        <v>0</v>
      </c>
      <c r="B280">
        <v>2.2448998177681898E-6</v>
      </c>
      <c r="C280">
        <v>3</v>
      </c>
      <c r="D280">
        <v>1125</v>
      </c>
      <c r="E280" t="s">
        <v>967</v>
      </c>
      <c r="F280" t="s">
        <v>968</v>
      </c>
      <c r="G280">
        <v>6.4614424005925001E-4</v>
      </c>
      <c r="H280" t="s">
        <v>42</v>
      </c>
      <c r="I280" t="s">
        <v>337</v>
      </c>
      <c r="J280" t="s">
        <v>1650</v>
      </c>
    </row>
    <row r="281" spans="1:10" x14ac:dyDescent="0.2">
      <c r="A281">
        <v>0</v>
      </c>
      <c r="B281">
        <v>3.4636906749868402E-6</v>
      </c>
      <c r="C281">
        <v>2</v>
      </c>
      <c r="D281">
        <v>1811</v>
      </c>
      <c r="E281" t="s">
        <v>431</v>
      </c>
      <c r="F281" t="s">
        <v>432</v>
      </c>
      <c r="G281">
        <v>8.0753474022550301E-4</v>
      </c>
      <c r="H281" t="s">
        <v>42</v>
      </c>
      <c r="I281" t="s">
        <v>337</v>
      </c>
      <c r="J281" t="s">
        <v>1650</v>
      </c>
    </row>
    <row r="282" spans="1:10" x14ac:dyDescent="0.2">
      <c r="A282">
        <v>0</v>
      </c>
      <c r="B282">
        <v>6.5425460478949003E-4</v>
      </c>
      <c r="C282">
        <v>5</v>
      </c>
      <c r="D282">
        <v>922</v>
      </c>
      <c r="E282" t="s">
        <v>805</v>
      </c>
      <c r="F282" t="s">
        <v>806</v>
      </c>
      <c r="G282">
        <v>3.2404999943545398E-2</v>
      </c>
      <c r="H282" t="s">
        <v>42</v>
      </c>
      <c r="I282" t="s">
        <v>337</v>
      </c>
      <c r="J282" t="s">
        <v>1650</v>
      </c>
    </row>
    <row r="283" spans="1:10" x14ac:dyDescent="0.2">
      <c r="A283">
        <v>0</v>
      </c>
      <c r="B283">
        <v>1.56402615583345E-5</v>
      </c>
      <c r="C283">
        <v>2</v>
      </c>
      <c r="D283">
        <v>2749</v>
      </c>
      <c r="E283" t="s">
        <v>603</v>
      </c>
      <c r="F283" t="s">
        <v>604</v>
      </c>
      <c r="G283">
        <v>2.1998602707246702E-3</v>
      </c>
      <c r="H283" t="s">
        <v>42</v>
      </c>
      <c r="I283" t="s">
        <v>337</v>
      </c>
      <c r="J283" t="s">
        <v>1650</v>
      </c>
    </row>
    <row r="284" spans="1:10" x14ac:dyDescent="0.2">
      <c r="A284">
        <v>0</v>
      </c>
      <c r="B284">
        <v>4.4696810891165601E-4</v>
      </c>
      <c r="C284">
        <v>6</v>
      </c>
      <c r="D284">
        <v>116</v>
      </c>
      <c r="E284" t="s">
        <v>969</v>
      </c>
      <c r="F284" t="s">
        <v>970</v>
      </c>
      <c r="G284">
        <v>2.4867680241266701E-2</v>
      </c>
      <c r="H284" t="s">
        <v>42</v>
      </c>
      <c r="I284" t="s">
        <v>337</v>
      </c>
      <c r="J284" t="s">
        <v>1650</v>
      </c>
    </row>
    <row r="285" spans="1:10" x14ac:dyDescent="0.2">
      <c r="A285">
        <v>0</v>
      </c>
      <c r="B285">
        <v>5.4255187444992601E-5</v>
      </c>
      <c r="C285">
        <v>2</v>
      </c>
      <c r="D285">
        <v>22</v>
      </c>
      <c r="E285" t="s">
        <v>971</v>
      </c>
      <c r="F285" t="s">
        <v>972</v>
      </c>
      <c r="G285">
        <v>5.3413040507745901E-3</v>
      </c>
      <c r="H285" t="s">
        <v>42</v>
      </c>
      <c r="I285" t="s">
        <v>337</v>
      </c>
      <c r="J285" t="s">
        <v>1650</v>
      </c>
    </row>
    <row r="286" spans="1:10" x14ac:dyDescent="0.2">
      <c r="A286">
        <v>0</v>
      </c>
      <c r="B286">
        <v>6.0818092537968298E-4</v>
      </c>
      <c r="C286">
        <v>6</v>
      </c>
      <c r="D286">
        <v>121</v>
      </c>
      <c r="E286" t="s">
        <v>973</v>
      </c>
      <c r="F286" t="s">
        <v>974</v>
      </c>
      <c r="G286">
        <v>3.0866421313697701E-2</v>
      </c>
      <c r="H286" t="s">
        <v>42</v>
      </c>
      <c r="I286" t="s">
        <v>337</v>
      </c>
      <c r="J286" t="s">
        <v>1650</v>
      </c>
    </row>
    <row r="287" spans="1:10" x14ac:dyDescent="0.2">
      <c r="A287">
        <v>0</v>
      </c>
      <c r="B287">
        <v>4.1777704225980397E-5</v>
      </c>
      <c r="C287">
        <v>2</v>
      </c>
      <c r="D287">
        <v>792</v>
      </c>
      <c r="E287" t="s">
        <v>975</v>
      </c>
      <c r="F287" t="s">
        <v>976</v>
      </c>
      <c r="G287">
        <v>4.6487190884181798E-3</v>
      </c>
      <c r="H287" t="s">
        <v>42</v>
      </c>
      <c r="I287" t="s">
        <v>337</v>
      </c>
      <c r="J287" t="s">
        <v>1650</v>
      </c>
    </row>
    <row r="288" spans="1:10" x14ac:dyDescent="0.2">
      <c r="A288">
        <v>0</v>
      </c>
      <c r="B288">
        <v>1.0675432427341299E-3</v>
      </c>
      <c r="C288">
        <v>3</v>
      </c>
      <c r="D288">
        <v>11</v>
      </c>
      <c r="E288" t="s">
        <v>977</v>
      </c>
      <c r="F288" t="s">
        <v>978</v>
      </c>
      <c r="G288">
        <v>4.54494931863157E-2</v>
      </c>
      <c r="H288" t="s">
        <v>42</v>
      </c>
      <c r="I288" t="s">
        <v>337</v>
      </c>
      <c r="J288" t="s">
        <v>1650</v>
      </c>
    </row>
    <row r="289" spans="1:10" x14ac:dyDescent="0.2">
      <c r="A289">
        <v>0</v>
      </c>
      <c r="B289">
        <v>9.0368631317903805E-4</v>
      </c>
      <c r="C289">
        <v>6</v>
      </c>
      <c r="D289">
        <v>39</v>
      </c>
      <c r="E289" t="s">
        <v>979</v>
      </c>
      <c r="F289" t="s">
        <v>980</v>
      </c>
      <c r="G289">
        <v>4.1258546955697001E-2</v>
      </c>
      <c r="H289" t="s">
        <v>42</v>
      </c>
      <c r="I289" t="s">
        <v>337</v>
      </c>
      <c r="J289" t="s">
        <v>1650</v>
      </c>
    </row>
    <row r="290" spans="1:10" x14ac:dyDescent="0.2">
      <c r="A290">
        <v>0</v>
      </c>
      <c r="B290">
        <v>4.7300776372469601E-4</v>
      </c>
      <c r="C290">
        <v>2</v>
      </c>
      <c r="D290">
        <v>34</v>
      </c>
      <c r="E290" t="s">
        <v>335</v>
      </c>
      <c r="F290" t="s">
        <v>336</v>
      </c>
      <c r="G290">
        <v>2.54488572658913E-2</v>
      </c>
      <c r="H290" t="s">
        <v>42</v>
      </c>
      <c r="I290" t="s">
        <v>337</v>
      </c>
      <c r="J290" t="s">
        <v>1650</v>
      </c>
    </row>
    <row r="291" spans="1:10" x14ac:dyDescent="0.2">
      <c r="A291">
        <v>0</v>
      </c>
      <c r="B291">
        <v>9.2696898797521804E-4</v>
      </c>
      <c r="C291">
        <v>4</v>
      </c>
      <c r="D291">
        <v>23</v>
      </c>
      <c r="E291" t="s">
        <v>981</v>
      </c>
      <c r="F291" t="s">
        <v>982</v>
      </c>
      <c r="G291">
        <v>4.1258546955697001E-2</v>
      </c>
      <c r="H291" t="s">
        <v>42</v>
      </c>
      <c r="I291" t="s">
        <v>337</v>
      </c>
      <c r="J291" t="s">
        <v>1650</v>
      </c>
    </row>
    <row r="292" spans="1:10" x14ac:dyDescent="0.2">
      <c r="A292">
        <v>0</v>
      </c>
      <c r="B292">
        <v>6.1152836344539896E-4</v>
      </c>
      <c r="C292">
        <v>2</v>
      </c>
      <c r="D292">
        <v>1306</v>
      </c>
      <c r="E292" t="s">
        <v>280</v>
      </c>
      <c r="F292" t="s">
        <v>281</v>
      </c>
      <c r="G292">
        <v>3.0866421313697701E-2</v>
      </c>
      <c r="H292" t="s">
        <v>42</v>
      </c>
      <c r="I292" t="s">
        <v>337</v>
      </c>
      <c r="J292" t="s">
        <v>1650</v>
      </c>
    </row>
    <row r="293" spans="1:10" x14ac:dyDescent="0.2">
      <c r="A293">
        <v>0</v>
      </c>
      <c r="B293">
        <v>4.8752219166912105E-10</v>
      </c>
      <c r="C293">
        <v>2</v>
      </c>
      <c r="D293">
        <v>3207</v>
      </c>
      <c r="E293" t="s">
        <v>512</v>
      </c>
      <c r="F293" t="s">
        <v>513</v>
      </c>
      <c r="G293">
        <v>2.3869086504120199E-6</v>
      </c>
      <c r="H293" t="s">
        <v>42</v>
      </c>
      <c r="I293" t="s">
        <v>337</v>
      </c>
      <c r="J293" t="s">
        <v>1650</v>
      </c>
    </row>
    <row r="294" spans="1:10" x14ac:dyDescent="0.2">
      <c r="A294">
        <v>0</v>
      </c>
      <c r="B294">
        <v>1.27344032520567E-6</v>
      </c>
      <c r="C294">
        <v>2</v>
      </c>
      <c r="D294">
        <v>42</v>
      </c>
      <c r="E294" t="s">
        <v>643</v>
      </c>
      <c r="F294" t="s">
        <v>644</v>
      </c>
      <c r="G294">
        <v>4.15650922147131E-4</v>
      </c>
      <c r="H294" t="s">
        <v>42</v>
      </c>
      <c r="I294" t="s">
        <v>337</v>
      </c>
      <c r="J294" t="s">
        <v>1650</v>
      </c>
    </row>
    <row r="295" spans="1:10" x14ac:dyDescent="0.2">
      <c r="A295">
        <v>0</v>
      </c>
      <c r="B295">
        <v>9.1371427224338803E-4</v>
      </c>
      <c r="C295">
        <v>2</v>
      </c>
      <c r="D295">
        <v>1576</v>
      </c>
      <c r="E295" t="s">
        <v>983</v>
      </c>
      <c r="F295" t="s">
        <v>984</v>
      </c>
      <c r="G295">
        <v>4.1258546955697001E-2</v>
      </c>
      <c r="H295" t="s">
        <v>42</v>
      </c>
      <c r="I295" t="s">
        <v>337</v>
      </c>
      <c r="J295" t="s">
        <v>1650</v>
      </c>
    </row>
    <row r="296" spans="1:10" x14ac:dyDescent="0.2">
      <c r="A296">
        <v>0</v>
      </c>
      <c r="B296">
        <v>9.0862992344066103E-5</v>
      </c>
      <c r="C296">
        <v>2</v>
      </c>
      <c r="D296">
        <v>94</v>
      </c>
      <c r="E296" t="s">
        <v>985</v>
      </c>
      <c r="F296" t="s">
        <v>986</v>
      </c>
      <c r="G296">
        <v>8.0884583730281394E-3</v>
      </c>
      <c r="H296" t="s">
        <v>42</v>
      </c>
      <c r="I296" t="s">
        <v>337</v>
      </c>
      <c r="J296" t="s">
        <v>1650</v>
      </c>
    </row>
    <row r="297" spans="1:10" x14ac:dyDescent="0.2">
      <c r="A297">
        <v>0</v>
      </c>
      <c r="B297">
        <v>1.83754432413557E-4</v>
      </c>
      <c r="C297">
        <v>4</v>
      </c>
      <c r="D297">
        <v>103</v>
      </c>
      <c r="E297" t="s">
        <v>987</v>
      </c>
      <c r="F297" t="s">
        <v>988</v>
      </c>
      <c r="G297">
        <v>1.3609091646030001E-2</v>
      </c>
      <c r="H297" t="s">
        <v>42</v>
      </c>
      <c r="I297" t="s">
        <v>337</v>
      </c>
      <c r="J297" t="s">
        <v>1650</v>
      </c>
    </row>
    <row r="298" spans="1:10" x14ac:dyDescent="0.2">
      <c r="A298">
        <v>0</v>
      </c>
      <c r="B298">
        <v>2.7326613356136198E-4</v>
      </c>
      <c r="C298">
        <v>2</v>
      </c>
      <c r="D298">
        <v>17</v>
      </c>
      <c r="E298" t="s">
        <v>989</v>
      </c>
      <c r="F298" t="s">
        <v>990</v>
      </c>
      <c r="G298">
        <v>1.7838813198885702E-2</v>
      </c>
      <c r="H298" t="s">
        <v>42</v>
      </c>
      <c r="I298" t="s">
        <v>337</v>
      </c>
      <c r="J298" t="s">
        <v>1650</v>
      </c>
    </row>
    <row r="299" spans="1:10" x14ac:dyDescent="0.2">
      <c r="A299">
        <v>0</v>
      </c>
      <c r="B299">
        <v>4.9634739026057696E-4</v>
      </c>
      <c r="C299">
        <v>2</v>
      </c>
      <c r="D299">
        <v>94</v>
      </c>
      <c r="E299" t="s">
        <v>991</v>
      </c>
      <c r="F299" t="s">
        <v>992</v>
      </c>
      <c r="G299">
        <v>2.6130288416298799E-2</v>
      </c>
      <c r="H299" t="s">
        <v>42</v>
      </c>
      <c r="I299" t="s">
        <v>337</v>
      </c>
      <c r="J299" t="s">
        <v>1650</v>
      </c>
    </row>
    <row r="300" spans="1:10" x14ac:dyDescent="0.2">
      <c r="A300">
        <v>0</v>
      </c>
      <c r="B300">
        <v>9.2386314526679203E-6</v>
      </c>
      <c r="C300">
        <v>3</v>
      </c>
      <c r="D300">
        <v>8</v>
      </c>
      <c r="E300" t="s">
        <v>514</v>
      </c>
      <c r="F300" t="s">
        <v>515</v>
      </c>
      <c r="G300">
        <v>1.5753684374842801E-3</v>
      </c>
      <c r="H300" t="s">
        <v>42</v>
      </c>
      <c r="I300" t="s">
        <v>337</v>
      </c>
      <c r="J300" t="s">
        <v>1650</v>
      </c>
    </row>
    <row r="301" spans="1:10" x14ac:dyDescent="0.2">
      <c r="A301">
        <v>0</v>
      </c>
      <c r="B301">
        <v>2.9651272704248001E-4</v>
      </c>
      <c r="C301">
        <v>2</v>
      </c>
      <c r="D301">
        <v>331</v>
      </c>
      <c r="E301" t="s">
        <v>993</v>
      </c>
      <c r="F301" t="s">
        <v>994</v>
      </c>
      <c r="G301">
        <v>1.8558831307729399E-2</v>
      </c>
      <c r="H301" t="s">
        <v>42</v>
      </c>
      <c r="I301" t="s">
        <v>337</v>
      </c>
      <c r="J301" t="s">
        <v>1650</v>
      </c>
    </row>
    <row r="302" spans="1:10" x14ac:dyDescent="0.2">
      <c r="A302">
        <v>0</v>
      </c>
      <c r="B302">
        <v>2.12219248599935E-4</v>
      </c>
      <c r="C302">
        <v>3</v>
      </c>
      <c r="D302">
        <v>16</v>
      </c>
      <c r="E302" t="s">
        <v>995</v>
      </c>
      <c r="F302" t="s">
        <v>996</v>
      </c>
      <c r="G302">
        <v>1.48432205877897E-2</v>
      </c>
      <c r="H302" t="s">
        <v>42</v>
      </c>
      <c r="I302" t="s">
        <v>337</v>
      </c>
      <c r="J302" t="s">
        <v>1650</v>
      </c>
    </row>
    <row r="303" spans="1:10" x14ac:dyDescent="0.2">
      <c r="A303">
        <v>0</v>
      </c>
      <c r="B303">
        <v>3.2986198238162599E-5</v>
      </c>
      <c r="C303">
        <v>5</v>
      </c>
      <c r="D303">
        <v>20</v>
      </c>
      <c r="E303" t="s">
        <v>516</v>
      </c>
      <c r="F303" t="s">
        <v>517</v>
      </c>
      <c r="G303">
        <v>3.8452482517629498E-3</v>
      </c>
      <c r="H303" t="s">
        <v>42</v>
      </c>
      <c r="I303" t="s">
        <v>337</v>
      </c>
      <c r="J303" t="s">
        <v>1650</v>
      </c>
    </row>
    <row r="304" spans="1:10" x14ac:dyDescent="0.2">
      <c r="A304">
        <v>0</v>
      </c>
      <c r="B304">
        <v>1.2597140158234201E-5</v>
      </c>
      <c r="C304">
        <v>2</v>
      </c>
      <c r="D304">
        <v>367</v>
      </c>
      <c r="E304" t="s">
        <v>518</v>
      </c>
      <c r="F304" t="s">
        <v>519</v>
      </c>
      <c r="G304">
        <v>1.9273624442098299E-3</v>
      </c>
      <c r="H304" t="s">
        <v>42</v>
      </c>
      <c r="I304" t="s">
        <v>337</v>
      </c>
      <c r="J304" t="s">
        <v>1650</v>
      </c>
    </row>
    <row r="305" spans="1:10" x14ac:dyDescent="0.2">
      <c r="A305">
        <v>0</v>
      </c>
      <c r="B305">
        <v>1.42278943016151E-5</v>
      </c>
      <c r="C305">
        <v>2</v>
      </c>
      <c r="D305">
        <v>370</v>
      </c>
      <c r="E305" t="s">
        <v>997</v>
      </c>
      <c r="F305" t="s">
        <v>998</v>
      </c>
      <c r="G305">
        <v>2.1109021363850799E-3</v>
      </c>
      <c r="H305" t="s">
        <v>42</v>
      </c>
      <c r="I305" t="s">
        <v>337</v>
      </c>
      <c r="J305" t="s">
        <v>1650</v>
      </c>
    </row>
    <row r="306" spans="1:10" x14ac:dyDescent="0.2">
      <c r="A306">
        <v>0</v>
      </c>
      <c r="B306">
        <v>1.9153317315916501E-4</v>
      </c>
      <c r="C306">
        <v>4</v>
      </c>
      <c r="D306">
        <v>577</v>
      </c>
      <c r="E306" t="s">
        <v>823</v>
      </c>
      <c r="F306" t="s">
        <v>824</v>
      </c>
      <c r="G306">
        <v>1.37903884674599E-2</v>
      </c>
      <c r="H306" t="s">
        <v>42</v>
      </c>
      <c r="I306" t="s">
        <v>337</v>
      </c>
      <c r="J306" t="s">
        <v>1650</v>
      </c>
    </row>
    <row r="307" spans="1:10" x14ac:dyDescent="0.2">
      <c r="A307">
        <v>0</v>
      </c>
      <c r="B307">
        <v>2.6844748366979801E-4</v>
      </c>
      <c r="C307">
        <v>2</v>
      </c>
      <c r="D307">
        <v>695</v>
      </c>
      <c r="E307" t="s">
        <v>999</v>
      </c>
      <c r="F307" t="s">
        <v>1000</v>
      </c>
      <c r="G307">
        <v>1.7761065946585601E-2</v>
      </c>
      <c r="H307" t="s">
        <v>42</v>
      </c>
      <c r="I307" t="s">
        <v>337</v>
      </c>
      <c r="J307" t="s">
        <v>1650</v>
      </c>
    </row>
    <row r="308" spans="1:10" x14ac:dyDescent="0.2">
      <c r="A308">
        <v>0</v>
      </c>
      <c r="B308">
        <v>3.59084862644776E-4</v>
      </c>
      <c r="C308">
        <v>3</v>
      </c>
      <c r="D308">
        <v>49</v>
      </c>
      <c r="E308" t="s">
        <v>1001</v>
      </c>
      <c r="F308" t="s">
        <v>1002</v>
      </c>
      <c r="G308">
        <v>2.09295177084384E-2</v>
      </c>
      <c r="H308" t="s">
        <v>42</v>
      </c>
      <c r="I308" t="s">
        <v>337</v>
      </c>
      <c r="J308" t="s">
        <v>1650</v>
      </c>
    </row>
    <row r="309" spans="1:10" x14ac:dyDescent="0.2">
      <c r="A309">
        <v>0</v>
      </c>
      <c r="B309">
        <v>1.10752884984745E-4</v>
      </c>
      <c r="C309">
        <v>2</v>
      </c>
      <c r="D309">
        <v>167</v>
      </c>
      <c r="E309" t="s">
        <v>1003</v>
      </c>
      <c r="F309" t="s">
        <v>1004</v>
      </c>
      <c r="G309">
        <v>9.5130899102686198E-3</v>
      </c>
      <c r="H309" t="s">
        <v>42</v>
      </c>
      <c r="I309" t="s">
        <v>337</v>
      </c>
      <c r="J309" t="s">
        <v>1650</v>
      </c>
    </row>
    <row r="310" spans="1:10" x14ac:dyDescent="0.2">
      <c r="A310">
        <v>0</v>
      </c>
      <c r="B310">
        <v>3.42671473281746E-4</v>
      </c>
      <c r="C310">
        <v>2</v>
      </c>
      <c r="D310">
        <v>89</v>
      </c>
      <c r="E310" t="s">
        <v>524</v>
      </c>
      <c r="F310" t="s">
        <v>525</v>
      </c>
      <c r="G310">
        <v>2.07125868294744E-2</v>
      </c>
      <c r="H310" t="s">
        <v>42</v>
      </c>
      <c r="I310" t="s">
        <v>337</v>
      </c>
      <c r="J310" t="s">
        <v>1650</v>
      </c>
    </row>
    <row r="311" spans="1:10" x14ac:dyDescent="0.2">
      <c r="A311">
        <v>0</v>
      </c>
      <c r="B311">
        <v>9.2696898797521804E-4</v>
      </c>
      <c r="C311">
        <v>4</v>
      </c>
      <c r="D311">
        <v>23</v>
      </c>
      <c r="E311" t="s">
        <v>1005</v>
      </c>
      <c r="F311" t="s">
        <v>1006</v>
      </c>
      <c r="G311">
        <v>4.1258546955697001E-2</v>
      </c>
      <c r="H311" t="s">
        <v>42</v>
      </c>
      <c r="I311" t="s">
        <v>337</v>
      </c>
      <c r="J311" t="s">
        <v>1650</v>
      </c>
    </row>
    <row r="312" spans="1:10" x14ac:dyDescent="0.2">
      <c r="A312">
        <v>0</v>
      </c>
      <c r="B312">
        <v>4.3832769059310301E-4</v>
      </c>
      <c r="C312">
        <v>2</v>
      </c>
      <c r="D312">
        <v>251</v>
      </c>
      <c r="E312" t="s">
        <v>1007</v>
      </c>
      <c r="F312" t="s">
        <v>1008</v>
      </c>
      <c r="G312">
        <v>2.4667268656825701E-2</v>
      </c>
      <c r="H312" t="s">
        <v>42</v>
      </c>
      <c r="I312" t="s">
        <v>337</v>
      </c>
      <c r="J312" t="s">
        <v>1650</v>
      </c>
    </row>
    <row r="313" spans="1:10" x14ac:dyDescent="0.2">
      <c r="A313">
        <v>0</v>
      </c>
      <c r="B313">
        <v>5.5638583862235298E-5</v>
      </c>
      <c r="C313">
        <v>3</v>
      </c>
      <c r="D313">
        <v>1204</v>
      </c>
      <c r="E313" t="s">
        <v>308</v>
      </c>
      <c r="F313" t="s">
        <v>309</v>
      </c>
      <c r="G313">
        <v>5.3413040507745901E-3</v>
      </c>
      <c r="H313" t="s">
        <v>42</v>
      </c>
      <c r="I313" t="s">
        <v>337</v>
      </c>
      <c r="J313" t="s">
        <v>1650</v>
      </c>
    </row>
    <row r="314" spans="1:10" x14ac:dyDescent="0.2">
      <c r="A314">
        <v>0</v>
      </c>
      <c r="B314">
        <v>1.09540248588538E-3</v>
      </c>
      <c r="C314">
        <v>2</v>
      </c>
      <c r="D314">
        <v>24</v>
      </c>
      <c r="E314" t="s">
        <v>1009</v>
      </c>
      <c r="F314" t="s">
        <v>1010</v>
      </c>
      <c r="G314">
        <v>4.6233539404265701E-2</v>
      </c>
      <c r="H314" t="s">
        <v>42</v>
      </c>
      <c r="I314" t="s">
        <v>337</v>
      </c>
      <c r="J314" t="s">
        <v>1650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25F37-1394-E94D-8CC0-37B86753D073}">
  <dimension ref="A1:J124"/>
  <sheetViews>
    <sheetView tabSelected="1" workbookViewId="0"/>
  </sheetViews>
  <sheetFormatPr baseColWidth="10" defaultRowHeight="16" x14ac:dyDescent="0.2"/>
  <sheetData>
    <row r="1" spans="1:10" x14ac:dyDescent="0.2">
      <c r="A1" t="s">
        <v>1674</v>
      </c>
    </row>
    <row r="2" spans="1:10" x14ac:dyDescent="0.2">
      <c r="A2" t="s">
        <v>45</v>
      </c>
    </row>
    <row r="3" spans="1:10" x14ac:dyDescent="0.2">
      <c r="A3" t="s">
        <v>46</v>
      </c>
    </row>
    <row r="4" spans="1:10" x14ac:dyDescent="0.2">
      <c r="A4" t="s">
        <v>47</v>
      </c>
    </row>
    <row r="5" spans="1:10" x14ac:dyDescent="0.2">
      <c r="A5" t="s">
        <v>48</v>
      </c>
    </row>
    <row r="6" spans="1:10" x14ac:dyDescent="0.2">
      <c r="A6" t="s">
        <v>49</v>
      </c>
    </row>
    <row r="7" spans="1:10" x14ac:dyDescent="0.2">
      <c r="A7" t="s">
        <v>44</v>
      </c>
    </row>
    <row r="8" spans="1:10" x14ac:dyDescent="0.2">
      <c r="A8" t="s">
        <v>43</v>
      </c>
    </row>
    <row r="9" spans="1:10" x14ac:dyDescent="0.2">
      <c r="A9" t="s">
        <v>52</v>
      </c>
    </row>
    <row r="10" spans="1:10" x14ac:dyDescent="0.2">
      <c r="A10" t="s">
        <v>1036</v>
      </c>
    </row>
    <row r="11" spans="1:10" ht="17" thickBot="1" x14ac:dyDescent="0.25">
      <c r="A11" t="s">
        <v>1661</v>
      </c>
    </row>
    <row r="12" spans="1:10" ht="17" thickBot="1" x14ac:dyDescent="0.25">
      <c r="A12" s="2" t="s">
        <v>0</v>
      </c>
      <c r="B12" s="2" t="s">
        <v>1</v>
      </c>
      <c r="C12" s="2" t="s">
        <v>2</v>
      </c>
      <c r="D12" s="2" t="s">
        <v>3</v>
      </c>
      <c r="E12" s="2" t="s">
        <v>4</v>
      </c>
      <c r="F12" s="2" t="s">
        <v>5</v>
      </c>
      <c r="G12" s="2" t="s">
        <v>6</v>
      </c>
      <c r="H12" s="2" t="s">
        <v>41</v>
      </c>
      <c r="I12" s="2" t="s">
        <v>1037</v>
      </c>
      <c r="J12" s="11" t="s">
        <v>1647</v>
      </c>
    </row>
    <row r="13" spans="1:10" x14ac:dyDescent="0.2">
      <c r="A13">
        <v>0</v>
      </c>
      <c r="B13">
        <v>1.3800309758075001E-7</v>
      </c>
      <c r="C13">
        <v>3</v>
      </c>
      <c r="D13">
        <v>130</v>
      </c>
      <c r="E13" t="s">
        <v>527</v>
      </c>
      <c r="F13" t="s">
        <v>528</v>
      </c>
      <c r="G13">
        <v>0</v>
      </c>
      <c r="H13" t="s">
        <v>42</v>
      </c>
      <c r="I13" t="s">
        <v>1186</v>
      </c>
      <c r="J13" t="s">
        <v>1650</v>
      </c>
    </row>
    <row r="14" spans="1:10" x14ac:dyDescent="0.2">
      <c r="A14">
        <v>0</v>
      </c>
      <c r="B14">
        <v>5.8049675957940697E-4</v>
      </c>
      <c r="C14">
        <v>3</v>
      </c>
      <c r="D14">
        <v>62</v>
      </c>
      <c r="E14" t="s">
        <v>538</v>
      </c>
      <c r="F14" t="s">
        <v>539</v>
      </c>
      <c r="G14">
        <v>7.4074074074074103E-3</v>
      </c>
      <c r="H14" t="s">
        <v>42</v>
      </c>
      <c r="I14" t="s">
        <v>1186</v>
      </c>
      <c r="J14" t="s">
        <v>1657</v>
      </c>
    </row>
    <row r="15" spans="1:10" x14ac:dyDescent="0.2">
      <c r="A15">
        <v>0</v>
      </c>
      <c r="B15">
        <v>2.2738941103038799E-5</v>
      </c>
      <c r="C15">
        <v>3</v>
      </c>
      <c r="D15">
        <v>34</v>
      </c>
      <c r="E15" t="s">
        <v>1187</v>
      </c>
      <c r="F15" t="s">
        <v>1188</v>
      </c>
      <c r="G15">
        <v>0</v>
      </c>
      <c r="H15" t="s">
        <v>42</v>
      </c>
      <c r="I15" t="s">
        <v>1186</v>
      </c>
      <c r="J15" t="s">
        <v>1657</v>
      </c>
    </row>
    <row r="16" spans="1:10" x14ac:dyDescent="0.2">
      <c r="A16">
        <v>0</v>
      </c>
      <c r="B16">
        <v>4.6234480913416403E-6</v>
      </c>
      <c r="C16">
        <v>3</v>
      </c>
      <c r="D16">
        <v>26</v>
      </c>
      <c r="E16" t="s">
        <v>54</v>
      </c>
      <c r="F16" t="s">
        <v>55</v>
      </c>
      <c r="G16">
        <v>0</v>
      </c>
      <c r="H16" t="s">
        <v>42</v>
      </c>
      <c r="I16" t="s">
        <v>1186</v>
      </c>
      <c r="J16" t="s">
        <v>1657</v>
      </c>
    </row>
    <row r="17" spans="1:10" x14ac:dyDescent="0.2">
      <c r="A17">
        <v>0</v>
      </c>
      <c r="B17">
        <v>1.3536531293854299E-5</v>
      </c>
      <c r="C17">
        <v>3</v>
      </c>
      <c r="D17">
        <v>5</v>
      </c>
      <c r="E17" t="s">
        <v>540</v>
      </c>
      <c r="F17" t="s">
        <v>541</v>
      </c>
      <c r="G17">
        <v>0</v>
      </c>
      <c r="H17" t="s">
        <v>42</v>
      </c>
      <c r="I17" t="s">
        <v>1186</v>
      </c>
      <c r="J17" t="s">
        <v>1650</v>
      </c>
    </row>
    <row r="18" spans="1:10" x14ac:dyDescent="0.2">
      <c r="A18">
        <v>0</v>
      </c>
      <c r="B18">
        <v>2.5553196834318099E-5</v>
      </c>
      <c r="C18">
        <v>2</v>
      </c>
      <c r="D18">
        <v>39</v>
      </c>
      <c r="E18" t="s">
        <v>542</v>
      </c>
      <c r="F18" t="s">
        <v>543</v>
      </c>
      <c r="G18">
        <v>0</v>
      </c>
      <c r="H18" t="s">
        <v>42</v>
      </c>
      <c r="I18" t="s">
        <v>1186</v>
      </c>
      <c r="J18" t="s">
        <v>1650</v>
      </c>
    </row>
    <row r="19" spans="1:10" x14ac:dyDescent="0.2">
      <c r="A19">
        <v>0</v>
      </c>
      <c r="B19">
        <v>2.02399479902677E-3</v>
      </c>
      <c r="C19">
        <v>2</v>
      </c>
      <c r="D19">
        <v>14</v>
      </c>
      <c r="E19" t="s">
        <v>1189</v>
      </c>
      <c r="F19" t="s">
        <v>1190</v>
      </c>
      <c r="G19">
        <v>2.86585365853659E-2</v>
      </c>
      <c r="H19" t="s">
        <v>42</v>
      </c>
      <c r="I19" t="s">
        <v>1186</v>
      </c>
      <c r="J19" t="s">
        <v>1657</v>
      </c>
    </row>
    <row r="20" spans="1:10" x14ac:dyDescent="0.2">
      <c r="A20">
        <v>0</v>
      </c>
      <c r="B20">
        <v>9.1006159579496604E-7</v>
      </c>
      <c r="C20">
        <v>1</v>
      </c>
      <c r="D20">
        <v>529</v>
      </c>
      <c r="E20" t="s">
        <v>56</v>
      </c>
      <c r="F20" t="s">
        <v>57</v>
      </c>
      <c r="G20">
        <v>0</v>
      </c>
      <c r="H20" t="s">
        <v>42</v>
      </c>
      <c r="I20" t="s">
        <v>1186</v>
      </c>
      <c r="J20" t="s">
        <v>1657</v>
      </c>
    </row>
    <row r="21" spans="1:10" x14ac:dyDescent="0.2">
      <c r="A21">
        <v>0</v>
      </c>
      <c r="B21">
        <v>1.90438283735493E-3</v>
      </c>
      <c r="C21">
        <v>4</v>
      </c>
      <c r="D21">
        <v>101</v>
      </c>
      <c r="E21" t="s">
        <v>552</v>
      </c>
      <c r="F21" t="s">
        <v>553</v>
      </c>
      <c r="G21">
        <v>2.8125000000000001E-2</v>
      </c>
      <c r="H21" t="s">
        <v>42</v>
      </c>
      <c r="I21" t="s">
        <v>1186</v>
      </c>
      <c r="J21" t="s">
        <v>1657</v>
      </c>
    </row>
    <row r="22" spans="1:10" x14ac:dyDescent="0.2">
      <c r="A22">
        <v>0</v>
      </c>
      <c r="B22">
        <v>6.8480503983113497E-5</v>
      </c>
      <c r="C22">
        <v>4</v>
      </c>
      <c r="D22">
        <v>168</v>
      </c>
      <c r="E22" t="s">
        <v>116</v>
      </c>
      <c r="F22" t="s">
        <v>117</v>
      </c>
      <c r="G22">
        <v>1.9230769230769199E-3</v>
      </c>
      <c r="H22" t="s">
        <v>42</v>
      </c>
      <c r="I22" t="s">
        <v>1186</v>
      </c>
      <c r="J22" t="s">
        <v>1650</v>
      </c>
    </row>
    <row r="23" spans="1:10" x14ac:dyDescent="0.2">
      <c r="A23">
        <v>0</v>
      </c>
      <c r="B23">
        <v>1.67158665454547E-3</v>
      </c>
      <c r="C23">
        <v>2</v>
      </c>
      <c r="D23">
        <v>33</v>
      </c>
      <c r="E23" t="s">
        <v>1191</v>
      </c>
      <c r="F23" t="s">
        <v>1192</v>
      </c>
      <c r="G23">
        <v>2.5657894736842098E-2</v>
      </c>
      <c r="H23" t="s">
        <v>42</v>
      </c>
      <c r="I23" t="s">
        <v>1186</v>
      </c>
      <c r="J23" t="s">
        <v>1650</v>
      </c>
    </row>
    <row r="24" spans="1:10" x14ac:dyDescent="0.2">
      <c r="A24">
        <v>0</v>
      </c>
      <c r="B24">
        <v>2.0612951353287499E-4</v>
      </c>
      <c r="C24">
        <v>2</v>
      </c>
      <c r="D24">
        <v>10</v>
      </c>
      <c r="E24" t="s">
        <v>556</v>
      </c>
      <c r="F24" t="s">
        <v>557</v>
      </c>
      <c r="G24">
        <v>2.4390243902438998E-3</v>
      </c>
      <c r="H24" t="s">
        <v>42</v>
      </c>
      <c r="I24" t="s">
        <v>1186</v>
      </c>
      <c r="J24" t="s">
        <v>1650</v>
      </c>
    </row>
    <row r="25" spans="1:10" x14ac:dyDescent="0.2">
      <c r="A25">
        <v>0</v>
      </c>
      <c r="B25">
        <v>7.2910987671387294E-5</v>
      </c>
      <c r="C25">
        <v>2</v>
      </c>
      <c r="D25">
        <v>28</v>
      </c>
      <c r="E25" t="s">
        <v>1193</v>
      </c>
      <c r="F25" t="s">
        <v>1194</v>
      </c>
      <c r="G25">
        <v>1.85185185185185E-3</v>
      </c>
      <c r="H25" t="s">
        <v>42</v>
      </c>
      <c r="I25" t="s">
        <v>1186</v>
      </c>
      <c r="J25" t="s">
        <v>1650</v>
      </c>
    </row>
    <row r="26" spans="1:10" x14ac:dyDescent="0.2">
      <c r="A26">
        <v>0</v>
      </c>
      <c r="B26">
        <v>1.2857838277324899E-3</v>
      </c>
      <c r="C26">
        <v>5</v>
      </c>
      <c r="D26">
        <v>32</v>
      </c>
      <c r="E26" t="s">
        <v>1195</v>
      </c>
      <c r="F26" t="s">
        <v>1196</v>
      </c>
      <c r="G26">
        <v>2.25352112676056E-2</v>
      </c>
      <c r="H26" t="s">
        <v>42</v>
      </c>
      <c r="I26" t="s">
        <v>1186</v>
      </c>
      <c r="J26" t="s">
        <v>1650</v>
      </c>
    </row>
    <row r="27" spans="1:10" x14ac:dyDescent="0.2">
      <c r="A27">
        <v>0</v>
      </c>
      <c r="B27">
        <v>3.0724352189601301E-3</v>
      </c>
      <c r="C27">
        <v>2</v>
      </c>
      <c r="D27">
        <v>15</v>
      </c>
      <c r="E27" t="s">
        <v>1197</v>
      </c>
      <c r="F27" t="s">
        <v>1198</v>
      </c>
      <c r="G27">
        <v>4.5212765957446797E-2</v>
      </c>
      <c r="H27" t="s">
        <v>42</v>
      </c>
      <c r="I27" t="s">
        <v>1186</v>
      </c>
      <c r="J27" t="s">
        <v>1650</v>
      </c>
    </row>
    <row r="28" spans="1:10" x14ac:dyDescent="0.2">
      <c r="A28">
        <v>0</v>
      </c>
      <c r="B28">
        <v>1.06262857072443E-4</v>
      </c>
      <c r="C28">
        <v>2</v>
      </c>
      <c r="D28">
        <v>29</v>
      </c>
      <c r="E28" t="s">
        <v>1199</v>
      </c>
      <c r="F28" t="s">
        <v>1200</v>
      </c>
      <c r="G28">
        <v>1.6129032258064501E-3</v>
      </c>
      <c r="H28" t="s">
        <v>42</v>
      </c>
      <c r="I28" t="s">
        <v>1186</v>
      </c>
      <c r="J28" t="s">
        <v>1650</v>
      </c>
    </row>
    <row r="29" spans="1:10" x14ac:dyDescent="0.2">
      <c r="A29">
        <v>0</v>
      </c>
      <c r="B29">
        <v>3.9775211106496701E-12</v>
      </c>
      <c r="C29">
        <v>2</v>
      </c>
      <c r="D29">
        <v>257</v>
      </c>
      <c r="E29" t="s">
        <v>134</v>
      </c>
      <c r="F29" t="s">
        <v>135</v>
      </c>
      <c r="G29">
        <v>0</v>
      </c>
      <c r="H29" t="s">
        <v>42</v>
      </c>
      <c r="I29" t="s">
        <v>1186</v>
      </c>
      <c r="J29" t="s">
        <v>1657</v>
      </c>
    </row>
    <row r="30" spans="1:10" x14ac:dyDescent="0.2">
      <c r="A30">
        <v>0</v>
      </c>
      <c r="B30">
        <v>1.33157073149005E-3</v>
      </c>
      <c r="C30">
        <v>2</v>
      </c>
      <c r="D30">
        <v>79</v>
      </c>
      <c r="E30" t="s">
        <v>1201</v>
      </c>
      <c r="F30" t="s">
        <v>147</v>
      </c>
      <c r="G30">
        <v>2.29166666666667E-2</v>
      </c>
      <c r="H30" t="s">
        <v>42</v>
      </c>
      <c r="I30" t="s">
        <v>1186</v>
      </c>
      <c r="J30" t="s">
        <v>1650</v>
      </c>
    </row>
    <row r="31" spans="1:10" x14ac:dyDescent="0.2">
      <c r="A31">
        <v>0</v>
      </c>
      <c r="B31">
        <v>3.1544184014979399E-3</v>
      </c>
      <c r="C31">
        <v>2</v>
      </c>
      <c r="D31">
        <v>327</v>
      </c>
      <c r="E31" t="s">
        <v>148</v>
      </c>
      <c r="F31" t="s">
        <v>149</v>
      </c>
      <c r="G31">
        <v>4.68421052631579E-2</v>
      </c>
      <c r="H31" t="s">
        <v>42</v>
      </c>
      <c r="I31" t="s">
        <v>1186</v>
      </c>
      <c r="J31" t="s">
        <v>1650</v>
      </c>
    </row>
    <row r="32" spans="1:10" x14ac:dyDescent="0.2">
      <c r="A32">
        <v>0</v>
      </c>
      <c r="B32">
        <v>2.4017182542290499E-3</v>
      </c>
      <c r="C32">
        <v>2</v>
      </c>
      <c r="D32">
        <v>83</v>
      </c>
      <c r="E32" t="s">
        <v>1202</v>
      </c>
      <c r="F32" t="s">
        <v>1203</v>
      </c>
      <c r="G32">
        <v>3.6046511627907001E-2</v>
      </c>
      <c r="H32" t="s">
        <v>42</v>
      </c>
      <c r="I32" t="s">
        <v>1186</v>
      </c>
      <c r="J32" t="s">
        <v>1650</v>
      </c>
    </row>
    <row r="33" spans="1:10" x14ac:dyDescent="0.2">
      <c r="A33">
        <v>0</v>
      </c>
      <c r="B33">
        <v>7.4262350695769195E-4</v>
      </c>
      <c r="C33">
        <v>2</v>
      </c>
      <c r="D33">
        <v>269</v>
      </c>
      <c r="E33" t="s">
        <v>1204</v>
      </c>
      <c r="F33" t="s">
        <v>1205</v>
      </c>
      <c r="G33">
        <v>1.12068965517241E-2</v>
      </c>
      <c r="H33" t="s">
        <v>42</v>
      </c>
      <c r="I33" t="s">
        <v>1186</v>
      </c>
      <c r="J33" t="s">
        <v>1650</v>
      </c>
    </row>
    <row r="34" spans="1:10" x14ac:dyDescent="0.2">
      <c r="A34">
        <v>0</v>
      </c>
      <c r="B34">
        <v>2.86038157026246E-3</v>
      </c>
      <c r="C34">
        <v>4</v>
      </c>
      <c r="D34">
        <v>65</v>
      </c>
      <c r="E34" t="s">
        <v>1206</v>
      </c>
      <c r="F34" t="s">
        <v>1207</v>
      </c>
      <c r="G34">
        <v>4.33333333333333E-2</v>
      </c>
      <c r="H34" t="s">
        <v>42</v>
      </c>
      <c r="I34" t="s">
        <v>1186</v>
      </c>
      <c r="J34" t="s">
        <v>1650</v>
      </c>
    </row>
    <row r="35" spans="1:10" x14ac:dyDescent="0.2">
      <c r="A35">
        <v>0</v>
      </c>
      <c r="B35">
        <v>3.0724352189601301E-3</v>
      </c>
      <c r="C35">
        <v>6</v>
      </c>
      <c r="D35">
        <v>15</v>
      </c>
      <c r="E35" t="s">
        <v>1208</v>
      </c>
      <c r="F35" t="s">
        <v>1209</v>
      </c>
      <c r="G35">
        <v>4.5212765957446797E-2</v>
      </c>
      <c r="H35" t="s">
        <v>42</v>
      </c>
      <c r="I35" t="s">
        <v>1186</v>
      </c>
      <c r="J35" t="s">
        <v>1650</v>
      </c>
    </row>
    <row r="36" spans="1:10" x14ac:dyDescent="0.2">
      <c r="A36">
        <v>0</v>
      </c>
      <c r="B36">
        <v>1.2918023131985301E-4</v>
      </c>
      <c r="C36">
        <v>2</v>
      </c>
      <c r="D36">
        <v>55</v>
      </c>
      <c r="E36" t="s">
        <v>692</v>
      </c>
      <c r="F36" t="s">
        <v>693</v>
      </c>
      <c r="G36">
        <v>1.4285714285714301E-3</v>
      </c>
      <c r="H36" t="s">
        <v>42</v>
      </c>
      <c r="I36" t="s">
        <v>1186</v>
      </c>
      <c r="J36" t="s">
        <v>1670</v>
      </c>
    </row>
    <row r="37" spans="1:10" x14ac:dyDescent="0.2">
      <c r="A37">
        <v>0</v>
      </c>
      <c r="B37">
        <v>1.8335201378750999E-5</v>
      </c>
      <c r="C37">
        <v>2</v>
      </c>
      <c r="D37">
        <v>29</v>
      </c>
      <c r="E37" t="s">
        <v>1210</v>
      </c>
      <c r="F37" t="s">
        <v>1211</v>
      </c>
      <c r="G37">
        <v>0</v>
      </c>
      <c r="H37" t="s">
        <v>42</v>
      </c>
      <c r="I37" t="s">
        <v>1186</v>
      </c>
      <c r="J37" t="s">
        <v>1650</v>
      </c>
    </row>
    <row r="38" spans="1:10" x14ac:dyDescent="0.2">
      <c r="A38">
        <v>0</v>
      </c>
      <c r="B38">
        <v>2.18251108300235E-4</v>
      </c>
      <c r="C38">
        <v>2</v>
      </c>
      <c r="D38">
        <v>36</v>
      </c>
      <c r="E38" t="s">
        <v>1212</v>
      </c>
      <c r="F38" t="s">
        <v>1213</v>
      </c>
      <c r="G38">
        <v>2.3255813953488402E-3</v>
      </c>
      <c r="H38" t="s">
        <v>42</v>
      </c>
      <c r="I38" t="s">
        <v>1186</v>
      </c>
      <c r="J38" t="s">
        <v>1650</v>
      </c>
    </row>
    <row r="39" spans="1:10" x14ac:dyDescent="0.2">
      <c r="A39">
        <v>0</v>
      </c>
      <c r="B39">
        <v>4.3974738795423302E-4</v>
      </c>
      <c r="C39">
        <v>2</v>
      </c>
      <c r="D39">
        <v>626</v>
      </c>
      <c r="E39" t="s">
        <v>1214</v>
      </c>
      <c r="F39" t="s">
        <v>598</v>
      </c>
      <c r="G39">
        <v>5.0000000000000001E-3</v>
      </c>
      <c r="H39" t="s">
        <v>42</v>
      </c>
      <c r="I39" t="s">
        <v>1186</v>
      </c>
      <c r="J39" t="s">
        <v>1650</v>
      </c>
    </row>
    <row r="40" spans="1:10" x14ac:dyDescent="0.2">
      <c r="A40">
        <v>0</v>
      </c>
      <c r="B40">
        <v>1.7383915383E-3</v>
      </c>
      <c r="C40">
        <v>3</v>
      </c>
      <c r="D40">
        <v>62</v>
      </c>
      <c r="E40" t="s">
        <v>1215</v>
      </c>
      <c r="F40" t="s">
        <v>1216</v>
      </c>
      <c r="G40">
        <v>2.5641025641025599E-2</v>
      </c>
      <c r="H40" t="s">
        <v>42</v>
      </c>
      <c r="I40" t="s">
        <v>1186</v>
      </c>
      <c r="J40" t="s">
        <v>1650</v>
      </c>
    </row>
    <row r="41" spans="1:10" x14ac:dyDescent="0.2">
      <c r="A41">
        <v>0</v>
      </c>
      <c r="B41">
        <v>2.2519171035738201E-4</v>
      </c>
      <c r="C41">
        <v>2</v>
      </c>
      <c r="D41">
        <v>118</v>
      </c>
      <c r="E41" t="s">
        <v>1217</v>
      </c>
      <c r="F41" t="s">
        <v>1218</v>
      </c>
      <c r="G41">
        <v>2.27272727272727E-3</v>
      </c>
      <c r="H41" t="s">
        <v>42</v>
      </c>
      <c r="I41" t="s">
        <v>1186</v>
      </c>
      <c r="J41" t="s">
        <v>1650</v>
      </c>
    </row>
    <row r="42" spans="1:10" x14ac:dyDescent="0.2">
      <c r="A42">
        <v>0</v>
      </c>
      <c r="B42">
        <v>3.0724352189601301E-3</v>
      </c>
      <c r="C42">
        <v>4</v>
      </c>
      <c r="D42">
        <v>15</v>
      </c>
      <c r="E42" t="s">
        <v>1219</v>
      </c>
      <c r="F42" t="s">
        <v>1220</v>
      </c>
      <c r="G42">
        <v>4.5212765957446797E-2</v>
      </c>
      <c r="H42" t="s">
        <v>42</v>
      </c>
      <c r="I42" t="s">
        <v>1186</v>
      </c>
      <c r="J42" t="s">
        <v>1650</v>
      </c>
    </row>
    <row r="43" spans="1:10" x14ac:dyDescent="0.2">
      <c r="A43">
        <v>0</v>
      </c>
      <c r="B43">
        <v>4.8283662394662597E-6</v>
      </c>
      <c r="C43">
        <v>3</v>
      </c>
      <c r="D43">
        <v>288</v>
      </c>
      <c r="E43" t="s">
        <v>1221</v>
      </c>
      <c r="F43" t="s">
        <v>824</v>
      </c>
      <c r="G43">
        <v>0</v>
      </c>
      <c r="H43" t="s">
        <v>42</v>
      </c>
      <c r="I43" t="s">
        <v>1186</v>
      </c>
      <c r="J43" t="s">
        <v>1650</v>
      </c>
    </row>
    <row r="44" spans="1:10" x14ac:dyDescent="0.2">
      <c r="A44">
        <v>0</v>
      </c>
      <c r="B44">
        <v>1.1264284187701499E-3</v>
      </c>
      <c r="C44">
        <v>6</v>
      </c>
      <c r="D44">
        <v>17</v>
      </c>
      <c r="E44" t="s">
        <v>1222</v>
      </c>
      <c r="F44" t="s">
        <v>1223</v>
      </c>
      <c r="G44">
        <v>2.12121212121212E-2</v>
      </c>
      <c r="H44" t="s">
        <v>42</v>
      </c>
      <c r="I44" t="s">
        <v>1186</v>
      </c>
      <c r="J44" t="s">
        <v>1650</v>
      </c>
    </row>
    <row r="45" spans="1:10" x14ac:dyDescent="0.2">
      <c r="A45">
        <v>0</v>
      </c>
      <c r="B45">
        <v>1.1802422965238801E-3</v>
      </c>
      <c r="C45">
        <v>4</v>
      </c>
      <c r="D45">
        <v>9</v>
      </c>
      <c r="E45" t="s">
        <v>1224</v>
      </c>
      <c r="F45" t="s">
        <v>1225</v>
      </c>
      <c r="G45">
        <v>2.1739130434782601E-2</v>
      </c>
      <c r="H45" t="s">
        <v>42</v>
      </c>
      <c r="I45" t="s">
        <v>1186</v>
      </c>
      <c r="J45" t="s">
        <v>1650</v>
      </c>
    </row>
    <row r="46" spans="1:10" x14ac:dyDescent="0.2">
      <c r="A46">
        <v>0</v>
      </c>
      <c r="B46">
        <v>2.7577760809020102E-4</v>
      </c>
      <c r="C46">
        <v>5</v>
      </c>
      <c r="D46">
        <v>27</v>
      </c>
      <c r="E46" t="s">
        <v>1226</v>
      </c>
      <c r="F46" t="s">
        <v>1227</v>
      </c>
      <c r="G46">
        <v>2.17391304347826E-3</v>
      </c>
      <c r="H46" t="s">
        <v>42</v>
      </c>
      <c r="I46" t="s">
        <v>1186</v>
      </c>
      <c r="J46" t="s">
        <v>1650</v>
      </c>
    </row>
    <row r="47" spans="1:10" x14ac:dyDescent="0.2">
      <c r="A47">
        <v>0</v>
      </c>
      <c r="B47">
        <v>1.0138138202496899E-3</v>
      </c>
      <c r="C47">
        <v>6</v>
      </c>
      <c r="D47">
        <v>65</v>
      </c>
      <c r="E47" t="s">
        <v>1228</v>
      </c>
      <c r="F47" t="s">
        <v>1229</v>
      </c>
      <c r="G47">
        <v>2.06349206349206E-2</v>
      </c>
      <c r="H47" t="s">
        <v>42</v>
      </c>
      <c r="I47" t="s">
        <v>1186</v>
      </c>
      <c r="J47" t="s">
        <v>1650</v>
      </c>
    </row>
    <row r="48" spans="1:10" x14ac:dyDescent="0.2">
      <c r="A48">
        <v>0</v>
      </c>
      <c r="B48">
        <v>2.0612951353287499E-4</v>
      </c>
      <c r="C48">
        <v>2</v>
      </c>
      <c r="D48">
        <v>10</v>
      </c>
      <c r="E48" t="s">
        <v>569</v>
      </c>
      <c r="F48" t="s">
        <v>570</v>
      </c>
      <c r="G48">
        <v>2.4390243902438998E-3</v>
      </c>
      <c r="H48" t="s">
        <v>42</v>
      </c>
      <c r="I48" t="s">
        <v>1186</v>
      </c>
      <c r="J48" t="s">
        <v>1650</v>
      </c>
    </row>
    <row r="49" spans="1:10" x14ac:dyDescent="0.2">
      <c r="A49">
        <v>0</v>
      </c>
      <c r="B49">
        <v>8.5944166085331305E-6</v>
      </c>
      <c r="C49">
        <v>2</v>
      </c>
      <c r="D49">
        <v>386</v>
      </c>
      <c r="E49" t="s">
        <v>727</v>
      </c>
      <c r="F49" t="s">
        <v>728</v>
      </c>
      <c r="G49">
        <v>0</v>
      </c>
      <c r="H49" t="s">
        <v>42</v>
      </c>
      <c r="I49" t="s">
        <v>1186</v>
      </c>
      <c r="J49" t="s">
        <v>1650</v>
      </c>
    </row>
    <row r="50" spans="1:10" x14ac:dyDescent="0.2">
      <c r="A50">
        <v>0</v>
      </c>
      <c r="B50">
        <v>5.8049675957940697E-4</v>
      </c>
      <c r="C50">
        <v>2</v>
      </c>
      <c r="D50">
        <v>62</v>
      </c>
      <c r="E50" t="s">
        <v>1230</v>
      </c>
      <c r="F50" t="s">
        <v>1231</v>
      </c>
      <c r="G50">
        <v>7.4074074074074103E-3</v>
      </c>
      <c r="H50" t="s">
        <v>42</v>
      </c>
      <c r="I50" t="s">
        <v>1186</v>
      </c>
      <c r="J50" t="s">
        <v>1650</v>
      </c>
    </row>
    <row r="51" spans="1:10" x14ac:dyDescent="0.2">
      <c r="A51">
        <v>0</v>
      </c>
      <c r="B51">
        <v>3.0103137982290301E-7</v>
      </c>
      <c r="C51">
        <v>3</v>
      </c>
      <c r="D51">
        <v>188</v>
      </c>
      <c r="E51" t="s">
        <v>1232</v>
      </c>
      <c r="F51" t="s">
        <v>1233</v>
      </c>
      <c r="G51">
        <v>0</v>
      </c>
      <c r="H51" t="s">
        <v>42</v>
      </c>
      <c r="I51" t="s">
        <v>1186</v>
      </c>
      <c r="J51" t="s">
        <v>1650</v>
      </c>
    </row>
    <row r="52" spans="1:10" x14ac:dyDescent="0.2">
      <c r="A52">
        <v>0</v>
      </c>
      <c r="B52">
        <v>1.1280273002982101E-3</v>
      </c>
      <c r="C52">
        <v>2</v>
      </c>
      <c r="D52">
        <v>165</v>
      </c>
      <c r="E52" t="s">
        <v>1234</v>
      </c>
      <c r="F52" t="s">
        <v>1235</v>
      </c>
      <c r="G52">
        <v>2.0895522388059699E-2</v>
      </c>
      <c r="H52" t="s">
        <v>42</v>
      </c>
      <c r="I52" t="s">
        <v>1186</v>
      </c>
      <c r="J52" t="s">
        <v>1650</v>
      </c>
    </row>
    <row r="53" spans="1:10" x14ac:dyDescent="0.2">
      <c r="A53">
        <v>0</v>
      </c>
      <c r="B53">
        <v>9.5078549604230695E-4</v>
      </c>
      <c r="C53">
        <v>2</v>
      </c>
      <c r="D53">
        <v>206</v>
      </c>
      <c r="E53" t="s">
        <v>1236</v>
      </c>
      <c r="F53" t="s">
        <v>1237</v>
      </c>
      <c r="G53">
        <v>1.53225806451613E-2</v>
      </c>
      <c r="H53" t="s">
        <v>42</v>
      </c>
      <c r="I53" t="s">
        <v>1186</v>
      </c>
      <c r="J53" t="s">
        <v>1657</v>
      </c>
    </row>
    <row r="54" spans="1:10" x14ac:dyDescent="0.2">
      <c r="A54">
        <v>0</v>
      </c>
      <c r="B54">
        <v>1.07066625192527E-4</v>
      </c>
      <c r="C54">
        <v>4</v>
      </c>
      <c r="D54">
        <v>327</v>
      </c>
      <c r="E54" t="s">
        <v>1238</v>
      </c>
      <c r="F54" t="s">
        <v>1239</v>
      </c>
      <c r="G54">
        <v>1.5625000000000001E-3</v>
      </c>
      <c r="H54" t="s">
        <v>42</v>
      </c>
      <c r="I54" t="s">
        <v>1186</v>
      </c>
      <c r="J54" t="s">
        <v>1650</v>
      </c>
    </row>
    <row r="55" spans="1:10" x14ac:dyDescent="0.2">
      <c r="A55">
        <v>0</v>
      </c>
      <c r="B55">
        <v>1.7050533317230999E-3</v>
      </c>
      <c r="C55">
        <v>2</v>
      </c>
      <c r="D55">
        <v>134</v>
      </c>
      <c r="E55" t="s">
        <v>1240</v>
      </c>
      <c r="F55" t="s">
        <v>1241</v>
      </c>
      <c r="G55">
        <v>2.5974025974026E-2</v>
      </c>
      <c r="H55" t="s">
        <v>42</v>
      </c>
      <c r="I55" t="s">
        <v>1186</v>
      </c>
      <c r="J55" t="s">
        <v>1650</v>
      </c>
    </row>
    <row r="56" spans="1:10" x14ac:dyDescent="0.2">
      <c r="A56">
        <v>0</v>
      </c>
      <c r="B56">
        <v>2.1276635437044002E-3</v>
      </c>
      <c r="C56">
        <v>2</v>
      </c>
      <c r="D56">
        <v>352</v>
      </c>
      <c r="E56" t="s">
        <v>208</v>
      </c>
      <c r="F56" t="s">
        <v>209</v>
      </c>
      <c r="G56">
        <v>3.0722891566265099E-2</v>
      </c>
      <c r="H56" t="s">
        <v>42</v>
      </c>
      <c r="I56" t="s">
        <v>1186</v>
      </c>
      <c r="J56" t="s">
        <v>1650</v>
      </c>
    </row>
    <row r="57" spans="1:10" x14ac:dyDescent="0.2">
      <c r="A57">
        <v>0</v>
      </c>
      <c r="B57">
        <v>1.0231524851282399E-3</v>
      </c>
      <c r="C57">
        <v>3</v>
      </c>
      <c r="D57">
        <v>856</v>
      </c>
      <c r="E57" t="s">
        <v>747</v>
      </c>
      <c r="F57" t="s">
        <v>748</v>
      </c>
      <c r="G57">
        <v>0.02</v>
      </c>
      <c r="H57" t="s">
        <v>42</v>
      </c>
      <c r="I57" t="s">
        <v>1186</v>
      </c>
      <c r="J57" t="s">
        <v>1650</v>
      </c>
    </row>
    <row r="58" spans="1:10" x14ac:dyDescent="0.2">
      <c r="A58">
        <v>0</v>
      </c>
      <c r="B58">
        <v>1.1802422965238801E-3</v>
      </c>
      <c r="C58">
        <v>2</v>
      </c>
      <c r="D58">
        <v>9</v>
      </c>
      <c r="E58" t="s">
        <v>1242</v>
      </c>
      <c r="F58" t="s">
        <v>1243</v>
      </c>
      <c r="G58">
        <v>2.1739130434782601E-2</v>
      </c>
      <c r="H58" t="s">
        <v>42</v>
      </c>
      <c r="I58" t="s">
        <v>1186</v>
      </c>
      <c r="J58" t="s">
        <v>1650</v>
      </c>
    </row>
    <row r="59" spans="1:10" x14ac:dyDescent="0.2">
      <c r="A59">
        <v>0</v>
      </c>
      <c r="B59">
        <v>4.8939561175108098E-5</v>
      </c>
      <c r="C59">
        <v>2</v>
      </c>
      <c r="D59">
        <v>27</v>
      </c>
      <c r="E59" t="s">
        <v>1244</v>
      </c>
      <c r="F59" t="s">
        <v>1245</v>
      </c>
      <c r="G59">
        <v>0</v>
      </c>
      <c r="H59" t="s">
        <v>42</v>
      </c>
      <c r="I59" t="s">
        <v>1186</v>
      </c>
      <c r="J59" t="s">
        <v>1650</v>
      </c>
    </row>
    <row r="60" spans="1:10" x14ac:dyDescent="0.2">
      <c r="A60">
        <v>0</v>
      </c>
      <c r="B60">
        <v>1.26671766073336E-5</v>
      </c>
      <c r="C60">
        <v>2</v>
      </c>
      <c r="D60">
        <v>24</v>
      </c>
      <c r="E60" t="s">
        <v>1246</v>
      </c>
      <c r="F60" t="s">
        <v>1247</v>
      </c>
      <c r="G60">
        <v>0</v>
      </c>
      <c r="H60" t="s">
        <v>42</v>
      </c>
      <c r="I60" t="s">
        <v>1186</v>
      </c>
      <c r="J60" t="s">
        <v>1650</v>
      </c>
    </row>
    <row r="61" spans="1:10" x14ac:dyDescent="0.2">
      <c r="A61">
        <v>0</v>
      </c>
      <c r="B61">
        <v>1.5771621956506699E-3</v>
      </c>
      <c r="C61">
        <v>4</v>
      </c>
      <c r="D61">
        <v>93</v>
      </c>
      <c r="E61" t="s">
        <v>1248</v>
      </c>
      <c r="F61" t="s">
        <v>1249</v>
      </c>
      <c r="G61">
        <v>2.5000000000000001E-2</v>
      </c>
      <c r="H61" t="s">
        <v>42</v>
      </c>
      <c r="I61" t="s">
        <v>1186</v>
      </c>
      <c r="J61" t="s">
        <v>1650</v>
      </c>
    </row>
    <row r="62" spans="1:10" x14ac:dyDescent="0.2">
      <c r="A62">
        <v>0</v>
      </c>
      <c r="B62">
        <v>2.3560267578218901E-3</v>
      </c>
      <c r="C62">
        <v>2</v>
      </c>
      <c r="D62">
        <v>96</v>
      </c>
      <c r="E62" t="s">
        <v>1250</v>
      </c>
      <c r="F62" t="s">
        <v>1251</v>
      </c>
      <c r="G62">
        <v>3.6470588235294102E-2</v>
      </c>
      <c r="H62" t="s">
        <v>42</v>
      </c>
      <c r="I62" t="s">
        <v>1186</v>
      </c>
      <c r="J62" t="s">
        <v>1650</v>
      </c>
    </row>
    <row r="63" spans="1:10" x14ac:dyDescent="0.2">
      <c r="A63">
        <v>0</v>
      </c>
      <c r="B63">
        <v>3.5402731728319501E-6</v>
      </c>
      <c r="C63">
        <v>2</v>
      </c>
      <c r="D63">
        <v>449</v>
      </c>
      <c r="E63" t="s">
        <v>1252</v>
      </c>
      <c r="F63" t="s">
        <v>30</v>
      </c>
      <c r="G63">
        <v>0</v>
      </c>
      <c r="H63" t="s">
        <v>42</v>
      </c>
      <c r="I63" t="s">
        <v>1186</v>
      </c>
    </row>
    <row r="64" spans="1:10" x14ac:dyDescent="0.2">
      <c r="A64">
        <v>0</v>
      </c>
      <c r="B64">
        <v>6.2412146311036301E-12</v>
      </c>
      <c r="C64">
        <v>2</v>
      </c>
      <c r="D64">
        <v>185</v>
      </c>
      <c r="E64" t="s">
        <v>585</v>
      </c>
      <c r="F64" t="s">
        <v>586</v>
      </c>
      <c r="G64">
        <v>0</v>
      </c>
      <c r="H64" t="s">
        <v>42</v>
      </c>
      <c r="I64" t="s">
        <v>1186</v>
      </c>
      <c r="J64" t="s">
        <v>1657</v>
      </c>
    </row>
    <row r="65" spans="1:10" x14ac:dyDescent="0.2">
      <c r="A65">
        <v>0</v>
      </c>
      <c r="B65">
        <v>5.9560550519751503E-4</v>
      </c>
      <c r="C65">
        <v>2</v>
      </c>
      <c r="D65">
        <v>112</v>
      </c>
      <c r="E65" t="s">
        <v>1253</v>
      </c>
      <c r="F65" t="s">
        <v>1254</v>
      </c>
      <c r="G65">
        <v>7.14285714285714E-3</v>
      </c>
      <c r="H65" t="s">
        <v>42</v>
      </c>
      <c r="I65" t="s">
        <v>1186</v>
      </c>
      <c r="J65" t="s">
        <v>1657</v>
      </c>
    </row>
    <row r="66" spans="1:10" x14ac:dyDescent="0.2">
      <c r="A66">
        <v>0</v>
      </c>
      <c r="B66">
        <v>1.6240806955307801E-4</v>
      </c>
      <c r="C66">
        <v>2</v>
      </c>
      <c r="D66">
        <v>73</v>
      </c>
      <c r="E66" t="s">
        <v>591</v>
      </c>
      <c r="F66" t="s">
        <v>592</v>
      </c>
      <c r="G66">
        <v>1.2820512820512801E-3</v>
      </c>
      <c r="H66" t="s">
        <v>42</v>
      </c>
      <c r="I66" t="s">
        <v>1186</v>
      </c>
      <c r="J66" t="s">
        <v>1650</v>
      </c>
    </row>
    <row r="67" spans="1:10" x14ac:dyDescent="0.2">
      <c r="A67">
        <v>0</v>
      </c>
      <c r="B67">
        <v>2.5553196834318099E-5</v>
      </c>
      <c r="C67">
        <v>3</v>
      </c>
      <c r="D67">
        <v>39</v>
      </c>
      <c r="E67" t="s">
        <v>1255</v>
      </c>
      <c r="F67" t="s">
        <v>1256</v>
      </c>
      <c r="G67">
        <v>0</v>
      </c>
      <c r="H67" t="s">
        <v>42</v>
      </c>
      <c r="I67" t="s">
        <v>1186</v>
      </c>
      <c r="J67" t="s">
        <v>1650</v>
      </c>
    </row>
    <row r="68" spans="1:10" x14ac:dyDescent="0.2">
      <c r="A68">
        <v>0</v>
      </c>
      <c r="B68">
        <v>2.45246803259733E-3</v>
      </c>
      <c r="C68">
        <v>6</v>
      </c>
      <c r="D68">
        <v>103</v>
      </c>
      <c r="E68" t="s">
        <v>1257</v>
      </c>
      <c r="F68" t="s">
        <v>1258</v>
      </c>
      <c r="G68">
        <v>3.80681818181818E-2</v>
      </c>
      <c r="H68" t="s">
        <v>42</v>
      </c>
      <c r="I68" t="s">
        <v>1186</v>
      </c>
      <c r="J68" t="s">
        <v>1650</v>
      </c>
    </row>
    <row r="69" spans="1:10" x14ac:dyDescent="0.2">
      <c r="A69">
        <v>0</v>
      </c>
      <c r="B69">
        <v>2.4771733291272299E-3</v>
      </c>
      <c r="C69">
        <v>3</v>
      </c>
      <c r="D69">
        <v>24</v>
      </c>
      <c r="E69" t="s">
        <v>1259</v>
      </c>
      <c r="F69" t="s">
        <v>1260</v>
      </c>
      <c r="G69">
        <v>3.7640449438202203E-2</v>
      </c>
      <c r="H69" t="s">
        <v>42</v>
      </c>
      <c r="I69" t="s">
        <v>1186</v>
      </c>
      <c r="J69" t="s">
        <v>1650</v>
      </c>
    </row>
    <row r="70" spans="1:10" x14ac:dyDescent="0.2">
      <c r="A70">
        <v>0</v>
      </c>
      <c r="B70">
        <v>5.7489949928098897E-4</v>
      </c>
      <c r="C70">
        <v>2</v>
      </c>
      <c r="D70">
        <v>8</v>
      </c>
      <c r="E70" t="s">
        <v>595</v>
      </c>
      <c r="F70" t="s">
        <v>596</v>
      </c>
      <c r="G70">
        <v>7.6923076923076901E-3</v>
      </c>
      <c r="H70" t="s">
        <v>42</v>
      </c>
      <c r="I70" t="s">
        <v>1186</v>
      </c>
      <c r="J70" t="s">
        <v>1650</v>
      </c>
    </row>
    <row r="71" spans="1:10" x14ac:dyDescent="0.2">
      <c r="A71">
        <v>0</v>
      </c>
      <c r="B71">
        <v>1.64575332078087E-3</v>
      </c>
      <c r="C71">
        <v>2</v>
      </c>
      <c r="D71">
        <v>619</v>
      </c>
      <c r="E71" t="s">
        <v>1261</v>
      </c>
      <c r="F71" t="s">
        <v>1262</v>
      </c>
      <c r="G71">
        <v>2.5999999999999999E-2</v>
      </c>
      <c r="H71" t="s">
        <v>42</v>
      </c>
      <c r="I71" t="s">
        <v>1186</v>
      </c>
      <c r="J71" t="s">
        <v>1650</v>
      </c>
    </row>
    <row r="72" spans="1:10" x14ac:dyDescent="0.2">
      <c r="A72">
        <v>0</v>
      </c>
      <c r="B72">
        <v>4.4790546875484903E-5</v>
      </c>
      <c r="C72">
        <v>2</v>
      </c>
      <c r="D72">
        <v>383</v>
      </c>
      <c r="E72" t="s">
        <v>785</v>
      </c>
      <c r="F72" t="s">
        <v>786</v>
      </c>
      <c r="G72">
        <v>0</v>
      </c>
      <c r="H72" t="s">
        <v>42</v>
      </c>
      <c r="I72" t="s">
        <v>1186</v>
      </c>
      <c r="J72" t="s">
        <v>1650</v>
      </c>
    </row>
    <row r="73" spans="1:10" x14ac:dyDescent="0.2">
      <c r="A73">
        <v>0</v>
      </c>
      <c r="B73">
        <v>1.9033704762335E-3</v>
      </c>
      <c r="C73">
        <v>3</v>
      </c>
      <c r="D73">
        <v>75</v>
      </c>
      <c r="E73" t="s">
        <v>1263</v>
      </c>
      <c r="F73" t="s">
        <v>1264</v>
      </c>
      <c r="G73">
        <v>2.8481012658227799E-2</v>
      </c>
      <c r="H73" t="s">
        <v>42</v>
      </c>
      <c r="I73" t="s">
        <v>1186</v>
      </c>
      <c r="J73" t="s">
        <v>1650</v>
      </c>
    </row>
    <row r="74" spans="1:10" x14ac:dyDescent="0.2">
      <c r="A74">
        <v>0</v>
      </c>
      <c r="B74">
        <v>2.4342505510287402E-3</v>
      </c>
      <c r="C74">
        <v>3</v>
      </c>
      <c r="D74">
        <v>64</v>
      </c>
      <c r="E74" t="s">
        <v>1265</v>
      </c>
      <c r="F74" t="s">
        <v>1266</v>
      </c>
      <c r="G74">
        <v>3.6781609195402298E-2</v>
      </c>
      <c r="H74" t="s">
        <v>42</v>
      </c>
      <c r="I74" t="s">
        <v>1186</v>
      </c>
      <c r="J74" t="s">
        <v>1650</v>
      </c>
    </row>
    <row r="75" spans="1:10" x14ac:dyDescent="0.2">
      <c r="A75">
        <v>0</v>
      </c>
      <c r="B75">
        <v>2.1287619410146201E-4</v>
      </c>
      <c r="C75">
        <v>4</v>
      </c>
      <c r="D75">
        <v>31</v>
      </c>
      <c r="E75" t="s">
        <v>1267</v>
      </c>
      <c r="F75" t="s">
        <v>1268</v>
      </c>
      <c r="G75">
        <v>2.3809523809523799E-3</v>
      </c>
      <c r="H75" t="s">
        <v>42</v>
      </c>
      <c r="I75" t="s">
        <v>1186</v>
      </c>
      <c r="J75" t="s">
        <v>1650</v>
      </c>
    </row>
    <row r="76" spans="1:10" x14ac:dyDescent="0.2">
      <c r="A76">
        <v>0</v>
      </c>
      <c r="B76">
        <v>1.12247553734378E-4</v>
      </c>
      <c r="C76">
        <v>2</v>
      </c>
      <c r="D76">
        <v>126</v>
      </c>
      <c r="E76" t="s">
        <v>791</v>
      </c>
      <c r="F76" t="s">
        <v>792</v>
      </c>
      <c r="G76">
        <v>1.5151515151515199E-3</v>
      </c>
      <c r="H76" t="s">
        <v>42</v>
      </c>
      <c r="I76" t="s">
        <v>1186</v>
      </c>
      <c r="J76" t="s">
        <v>1650</v>
      </c>
    </row>
    <row r="77" spans="1:10" x14ac:dyDescent="0.2">
      <c r="A77">
        <v>0</v>
      </c>
      <c r="B77">
        <v>3.4306990396588299E-4</v>
      </c>
      <c r="C77">
        <v>2</v>
      </c>
      <c r="D77">
        <v>77</v>
      </c>
      <c r="E77" t="s">
        <v>1269</v>
      </c>
      <c r="F77" t="s">
        <v>1270</v>
      </c>
      <c r="G77">
        <v>3.1914893617021301E-3</v>
      </c>
      <c r="H77" t="s">
        <v>42</v>
      </c>
      <c r="I77" t="s">
        <v>1186</v>
      </c>
      <c r="J77" t="s">
        <v>1650</v>
      </c>
    </row>
    <row r="78" spans="1:10" x14ac:dyDescent="0.2">
      <c r="A78">
        <v>0</v>
      </c>
      <c r="B78">
        <v>5.0859159212078705E-4</v>
      </c>
      <c r="C78">
        <v>3</v>
      </c>
      <c r="D78">
        <v>98</v>
      </c>
      <c r="E78" t="s">
        <v>1271</v>
      </c>
      <c r="F78" t="s">
        <v>1272</v>
      </c>
      <c r="G78">
        <v>6.8627450980392199E-3</v>
      </c>
      <c r="H78" t="s">
        <v>42</v>
      </c>
      <c r="I78" t="s">
        <v>1186</v>
      </c>
      <c r="J78" t="s">
        <v>1650</v>
      </c>
    </row>
    <row r="79" spans="1:10" x14ac:dyDescent="0.2">
      <c r="A79">
        <v>0</v>
      </c>
      <c r="B79">
        <v>9.3211404478632499E-4</v>
      </c>
      <c r="C79">
        <v>2</v>
      </c>
      <c r="D79">
        <v>83</v>
      </c>
      <c r="E79" t="s">
        <v>1273</v>
      </c>
      <c r="F79" t="s">
        <v>1274</v>
      </c>
      <c r="G79">
        <v>1.47540983606557E-2</v>
      </c>
      <c r="H79" t="s">
        <v>42</v>
      </c>
      <c r="I79" t="s">
        <v>1186</v>
      </c>
      <c r="J79" t="s">
        <v>1650</v>
      </c>
    </row>
    <row r="80" spans="1:10" x14ac:dyDescent="0.2">
      <c r="A80">
        <v>0</v>
      </c>
      <c r="B80">
        <v>9.1498980116939794E-5</v>
      </c>
      <c r="C80">
        <v>2</v>
      </c>
      <c r="D80">
        <v>59</v>
      </c>
      <c r="E80" t="s">
        <v>1275</v>
      </c>
      <c r="F80" t="s">
        <v>1276</v>
      </c>
      <c r="G80">
        <v>1.66666666666667E-3</v>
      </c>
      <c r="H80" t="s">
        <v>42</v>
      </c>
      <c r="I80" t="s">
        <v>1186</v>
      </c>
      <c r="J80" t="s">
        <v>1650</v>
      </c>
    </row>
    <row r="81" spans="1:10" x14ac:dyDescent="0.2">
      <c r="A81">
        <v>0</v>
      </c>
      <c r="B81">
        <v>1.2428893672956399E-3</v>
      </c>
      <c r="C81">
        <v>4</v>
      </c>
      <c r="D81">
        <v>283</v>
      </c>
      <c r="E81" t="s">
        <v>793</v>
      </c>
      <c r="F81" t="s">
        <v>794</v>
      </c>
      <c r="G81">
        <v>2.1428571428571401E-2</v>
      </c>
      <c r="H81" t="s">
        <v>42</v>
      </c>
      <c r="I81" t="s">
        <v>1186</v>
      </c>
      <c r="J81" t="s">
        <v>1657</v>
      </c>
    </row>
    <row r="82" spans="1:10" x14ac:dyDescent="0.2">
      <c r="A82">
        <v>0</v>
      </c>
      <c r="B82">
        <v>8.8889389671941303E-5</v>
      </c>
      <c r="C82">
        <v>3</v>
      </c>
      <c r="D82">
        <v>879</v>
      </c>
      <c r="E82" t="s">
        <v>256</v>
      </c>
      <c r="F82" t="s">
        <v>257</v>
      </c>
      <c r="G82">
        <v>1.78571428571429E-3</v>
      </c>
      <c r="H82" t="s">
        <v>42</v>
      </c>
      <c r="I82" t="s">
        <v>1186</v>
      </c>
      <c r="J82" t="s">
        <v>1650</v>
      </c>
    </row>
    <row r="83" spans="1:10" x14ac:dyDescent="0.2">
      <c r="A83">
        <v>0</v>
      </c>
      <c r="B83">
        <v>1.39727418941264E-4</v>
      </c>
      <c r="C83">
        <v>5</v>
      </c>
      <c r="D83">
        <v>84</v>
      </c>
      <c r="E83" t="s">
        <v>1277</v>
      </c>
      <c r="F83" t="s">
        <v>798</v>
      </c>
      <c r="G83">
        <v>1.3513513513513499E-3</v>
      </c>
      <c r="H83" t="s">
        <v>42</v>
      </c>
      <c r="I83" t="s">
        <v>1186</v>
      </c>
      <c r="J83" t="s">
        <v>1650</v>
      </c>
    </row>
    <row r="84" spans="1:10" x14ac:dyDescent="0.2">
      <c r="A84">
        <v>0</v>
      </c>
      <c r="B84">
        <v>6.8420662075303602E-4</v>
      </c>
      <c r="C84">
        <v>2</v>
      </c>
      <c r="D84">
        <v>57</v>
      </c>
      <c r="E84" t="s">
        <v>1278</v>
      </c>
      <c r="F84" t="s">
        <v>1279</v>
      </c>
      <c r="G84">
        <v>8.7719298245613996E-3</v>
      </c>
      <c r="H84" t="s">
        <v>42</v>
      </c>
      <c r="I84" t="s">
        <v>1186</v>
      </c>
      <c r="J84" t="s">
        <v>1650</v>
      </c>
    </row>
    <row r="85" spans="1:10" x14ac:dyDescent="0.2">
      <c r="A85">
        <v>0</v>
      </c>
      <c r="B85">
        <v>8.0000301043294203E-4</v>
      </c>
      <c r="C85">
        <v>2</v>
      </c>
      <c r="D85">
        <v>52</v>
      </c>
      <c r="E85" t="s">
        <v>1280</v>
      </c>
      <c r="F85" t="s">
        <v>1281</v>
      </c>
      <c r="G85">
        <v>1.3559322033898299E-2</v>
      </c>
      <c r="H85" t="s">
        <v>42</v>
      </c>
      <c r="I85" t="s">
        <v>1186</v>
      </c>
      <c r="J85" t="s">
        <v>1650</v>
      </c>
    </row>
    <row r="86" spans="1:10" x14ac:dyDescent="0.2">
      <c r="A86">
        <v>0</v>
      </c>
      <c r="B86">
        <v>4.1267196127148898E-4</v>
      </c>
      <c r="C86">
        <v>3</v>
      </c>
      <c r="D86">
        <v>11</v>
      </c>
      <c r="E86" t="s">
        <v>1282</v>
      </c>
      <c r="F86" t="s">
        <v>1283</v>
      </c>
      <c r="G86">
        <v>4.0816326530612197E-3</v>
      </c>
      <c r="H86" t="s">
        <v>42</v>
      </c>
      <c r="I86" t="s">
        <v>1186</v>
      </c>
      <c r="J86" t="s">
        <v>1650</v>
      </c>
    </row>
    <row r="87" spans="1:10" x14ac:dyDescent="0.2">
      <c r="A87">
        <v>0</v>
      </c>
      <c r="B87">
        <v>5.8404323442705504E-4</v>
      </c>
      <c r="C87">
        <v>4</v>
      </c>
      <c r="D87">
        <v>5</v>
      </c>
      <c r="E87" t="s">
        <v>1284</v>
      </c>
      <c r="F87" t="s">
        <v>1285</v>
      </c>
      <c r="G87">
        <v>7.2727272727272701E-3</v>
      </c>
      <c r="H87" t="s">
        <v>42</v>
      </c>
      <c r="I87" t="s">
        <v>1186</v>
      </c>
      <c r="J87" t="s">
        <v>1650</v>
      </c>
    </row>
    <row r="88" spans="1:10" x14ac:dyDescent="0.2">
      <c r="A88">
        <v>0</v>
      </c>
      <c r="B88">
        <v>1.3450252326897799E-3</v>
      </c>
      <c r="C88">
        <v>2</v>
      </c>
      <c r="D88">
        <v>269</v>
      </c>
      <c r="E88" t="s">
        <v>258</v>
      </c>
      <c r="F88" t="s">
        <v>259</v>
      </c>
      <c r="G88">
        <v>2.2602739726027402E-2</v>
      </c>
      <c r="H88" t="s">
        <v>42</v>
      </c>
      <c r="I88" t="s">
        <v>1186</v>
      </c>
      <c r="J88" t="s">
        <v>1650</v>
      </c>
    </row>
    <row r="89" spans="1:10" x14ac:dyDescent="0.2">
      <c r="A89">
        <v>0</v>
      </c>
      <c r="B89">
        <v>3.4348516511064898E-4</v>
      </c>
      <c r="C89">
        <v>2</v>
      </c>
      <c r="D89">
        <v>857</v>
      </c>
      <c r="E89" t="s">
        <v>431</v>
      </c>
      <c r="F89" t="s">
        <v>432</v>
      </c>
      <c r="G89">
        <v>3.1250000000000002E-3</v>
      </c>
      <c r="H89" t="s">
        <v>42</v>
      </c>
      <c r="I89" t="s">
        <v>1186</v>
      </c>
      <c r="J89" t="s">
        <v>1650</v>
      </c>
    </row>
    <row r="90" spans="1:10" x14ac:dyDescent="0.2">
      <c r="A90">
        <v>0</v>
      </c>
      <c r="B90">
        <v>3.2222914398814602E-6</v>
      </c>
      <c r="C90">
        <v>4</v>
      </c>
      <c r="D90">
        <v>326</v>
      </c>
      <c r="E90" t="s">
        <v>1286</v>
      </c>
      <c r="F90" t="s">
        <v>924</v>
      </c>
      <c r="G90">
        <v>0</v>
      </c>
      <c r="H90" t="s">
        <v>42</v>
      </c>
      <c r="I90" t="s">
        <v>1186</v>
      </c>
      <c r="J90" t="s">
        <v>1650</v>
      </c>
    </row>
    <row r="91" spans="1:10" x14ac:dyDescent="0.2">
      <c r="A91">
        <v>0</v>
      </c>
      <c r="B91">
        <v>2.9647962682991399E-3</v>
      </c>
      <c r="C91">
        <v>2</v>
      </c>
      <c r="D91">
        <v>78</v>
      </c>
      <c r="E91" t="s">
        <v>1287</v>
      </c>
      <c r="F91" t="s">
        <v>1288</v>
      </c>
      <c r="G91">
        <v>4.3956043956044001E-2</v>
      </c>
      <c r="H91" t="s">
        <v>42</v>
      </c>
      <c r="I91" t="s">
        <v>1186</v>
      </c>
      <c r="J91" t="s">
        <v>1650</v>
      </c>
    </row>
    <row r="92" spans="1:10" x14ac:dyDescent="0.2">
      <c r="A92">
        <v>0</v>
      </c>
      <c r="B92">
        <v>2.0486895964675901E-5</v>
      </c>
      <c r="C92">
        <v>2</v>
      </c>
      <c r="D92">
        <v>172</v>
      </c>
      <c r="E92" t="s">
        <v>811</v>
      </c>
      <c r="F92" t="s">
        <v>812</v>
      </c>
      <c r="G92">
        <v>0</v>
      </c>
      <c r="H92" t="s">
        <v>42</v>
      </c>
      <c r="I92" t="s">
        <v>1186</v>
      </c>
      <c r="J92" t="s">
        <v>1650</v>
      </c>
    </row>
    <row r="93" spans="1:10" x14ac:dyDescent="0.2">
      <c r="A93">
        <v>0</v>
      </c>
      <c r="B93">
        <v>1.0937172368161599E-5</v>
      </c>
      <c r="C93">
        <v>2</v>
      </c>
      <c r="D93">
        <v>56</v>
      </c>
      <c r="E93" t="s">
        <v>1289</v>
      </c>
      <c r="F93" t="s">
        <v>1290</v>
      </c>
      <c r="G93">
        <v>0</v>
      </c>
      <c r="H93" t="s">
        <v>42</v>
      </c>
      <c r="I93" t="s">
        <v>1186</v>
      </c>
      <c r="J93" t="s">
        <v>1650</v>
      </c>
    </row>
    <row r="94" spans="1:10" x14ac:dyDescent="0.2">
      <c r="A94">
        <v>0</v>
      </c>
      <c r="B94">
        <v>2.02399479902677E-3</v>
      </c>
      <c r="C94">
        <v>2</v>
      </c>
      <c r="D94">
        <v>14</v>
      </c>
      <c r="E94" t="s">
        <v>1291</v>
      </c>
      <c r="F94" t="s">
        <v>1292</v>
      </c>
      <c r="G94">
        <v>2.86585365853659E-2</v>
      </c>
      <c r="H94" t="s">
        <v>42</v>
      </c>
      <c r="I94" t="s">
        <v>1186</v>
      </c>
      <c r="J94" t="s">
        <v>1650</v>
      </c>
    </row>
    <row r="95" spans="1:10" x14ac:dyDescent="0.2">
      <c r="A95">
        <v>0</v>
      </c>
      <c r="B95">
        <v>1.33722204748004E-4</v>
      </c>
      <c r="C95">
        <v>3</v>
      </c>
      <c r="D95">
        <v>187</v>
      </c>
      <c r="E95" t="s">
        <v>1293</v>
      </c>
      <c r="F95" t="s">
        <v>1294</v>
      </c>
      <c r="G95">
        <v>1.38888888888889E-3</v>
      </c>
      <c r="H95" t="s">
        <v>42</v>
      </c>
      <c r="I95" t="s">
        <v>1186</v>
      </c>
      <c r="J95" t="s">
        <v>1650</v>
      </c>
    </row>
    <row r="96" spans="1:10" x14ac:dyDescent="0.2">
      <c r="A96">
        <v>0</v>
      </c>
      <c r="B96">
        <v>1.26671766073336E-5</v>
      </c>
      <c r="C96">
        <v>6</v>
      </c>
      <c r="D96">
        <v>24</v>
      </c>
      <c r="E96" t="s">
        <v>1295</v>
      </c>
      <c r="F96" t="s">
        <v>1296</v>
      </c>
      <c r="G96">
        <v>0</v>
      </c>
      <c r="H96" t="s">
        <v>42</v>
      </c>
      <c r="I96" t="s">
        <v>1186</v>
      </c>
      <c r="J96" t="s">
        <v>1650</v>
      </c>
    </row>
    <row r="97" spans="1:10" x14ac:dyDescent="0.2">
      <c r="A97">
        <v>0</v>
      </c>
      <c r="B97">
        <v>1.0138724206220299E-3</v>
      </c>
      <c r="C97">
        <v>2</v>
      </c>
      <c r="D97">
        <v>171</v>
      </c>
      <c r="E97" t="s">
        <v>1297</v>
      </c>
      <c r="F97" t="s">
        <v>1298</v>
      </c>
      <c r="G97">
        <v>2.0312500000000001E-2</v>
      </c>
      <c r="H97" t="s">
        <v>42</v>
      </c>
      <c r="I97" t="s">
        <v>1186</v>
      </c>
      <c r="J97" t="s">
        <v>1650</v>
      </c>
    </row>
    <row r="98" spans="1:10" x14ac:dyDescent="0.2">
      <c r="A98">
        <v>0</v>
      </c>
      <c r="B98">
        <v>3.21456149720026E-3</v>
      </c>
      <c r="C98">
        <v>4</v>
      </c>
      <c r="D98">
        <v>462</v>
      </c>
      <c r="E98" t="s">
        <v>613</v>
      </c>
      <c r="F98" t="s">
        <v>614</v>
      </c>
      <c r="G98">
        <v>4.9479166666666699E-2</v>
      </c>
      <c r="H98" t="s">
        <v>42</v>
      </c>
      <c r="I98" t="s">
        <v>1186</v>
      </c>
      <c r="J98" t="s">
        <v>1650</v>
      </c>
    </row>
    <row r="99" spans="1:10" x14ac:dyDescent="0.2">
      <c r="A99">
        <v>0</v>
      </c>
      <c r="B99">
        <v>2.86663403635438E-9</v>
      </c>
      <c r="C99">
        <v>3</v>
      </c>
      <c r="D99">
        <v>375</v>
      </c>
      <c r="E99" t="s">
        <v>1299</v>
      </c>
      <c r="F99" t="s">
        <v>14</v>
      </c>
      <c r="G99">
        <v>0</v>
      </c>
      <c r="H99" t="s">
        <v>42</v>
      </c>
      <c r="I99" t="s">
        <v>1186</v>
      </c>
      <c r="J99" t="s">
        <v>1657</v>
      </c>
    </row>
    <row r="100" spans="1:10" x14ac:dyDescent="0.2">
      <c r="A100">
        <v>0</v>
      </c>
      <c r="B100">
        <v>2.1538423214537898E-3</v>
      </c>
      <c r="C100">
        <v>3</v>
      </c>
      <c r="D100">
        <v>186</v>
      </c>
      <c r="E100" t="s">
        <v>1300</v>
      </c>
      <c r="F100" t="s">
        <v>1301</v>
      </c>
      <c r="G100">
        <v>3.0952380952380999E-2</v>
      </c>
      <c r="H100" t="s">
        <v>42</v>
      </c>
      <c r="I100" t="s">
        <v>1186</v>
      </c>
      <c r="J100" t="s">
        <v>1668</v>
      </c>
    </row>
    <row r="101" spans="1:10" x14ac:dyDescent="0.2">
      <c r="A101">
        <v>0</v>
      </c>
      <c r="B101">
        <v>9.1091841799958596E-5</v>
      </c>
      <c r="C101">
        <v>4</v>
      </c>
      <c r="D101">
        <v>112</v>
      </c>
      <c r="E101" t="s">
        <v>1302</v>
      </c>
      <c r="F101" t="s">
        <v>1303</v>
      </c>
      <c r="G101">
        <v>1.7241379310344799E-3</v>
      </c>
      <c r="H101" t="s">
        <v>42</v>
      </c>
      <c r="I101" t="s">
        <v>1186</v>
      </c>
      <c r="J101" t="s">
        <v>1668</v>
      </c>
    </row>
    <row r="102" spans="1:10" x14ac:dyDescent="0.2">
      <c r="A102">
        <v>0</v>
      </c>
      <c r="B102">
        <v>1.1622996690019601E-4</v>
      </c>
      <c r="C102">
        <v>3</v>
      </c>
      <c r="D102">
        <v>83</v>
      </c>
      <c r="E102" t="s">
        <v>1304</v>
      </c>
      <c r="F102" t="s">
        <v>1305</v>
      </c>
      <c r="G102">
        <v>1.47058823529412E-3</v>
      </c>
      <c r="H102" t="s">
        <v>42</v>
      </c>
      <c r="I102" t="s">
        <v>1186</v>
      </c>
      <c r="J102" t="s">
        <v>1650</v>
      </c>
    </row>
    <row r="103" spans="1:10" x14ac:dyDescent="0.2">
      <c r="A103">
        <v>0</v>
      </c>
      <c r="B103">
        <v>9.1600081257168597E-4</v>
      </c>
      <c r="C103">
        <v>6</v>
      </c>
      <c r="D103">
        <v>21</v>
      </c>
      <c r="E103" t="s">
        <v>1306</v>
      </c>
      <c r="F103" t="s">
        <v>1307</v>
      </c>
      <c r="G103">
        <v>1.4999999999999999E-2</v>
      </c>
      <c r="H103" t="s">
        <v>42</v>
      </c>
      <c r="I103" t="s">
        <v>1186</v>
      </c>
      <c r="J103" t="s">
        <v>1650</v>
      </c>
    </row>
    <row r="104" spans="1:10" x14ac:dyDescent="0.2">
      <c r="A104">
        <v>0</v>
      </c>
      <c r="B104">
        <v>1.4584629766561599E-4</v>
      </c>
      <c r="C104">
        <v>3</v>
      </c>
      <c r="D104">
        <v>13</v>
      </c>
      <c r="E104" t="s">
        <v>1308</v>
      </c>
      <c r="F104" t="s">
        <v>1309</v>
      </c>
      <c r="G104">
        <v>1.3157894736842101E-3</v>
      </c>
      <c r="H104" t="s">
        <v>42</v>
      </c>
      <c r="I104" t="s">
        <v>1186</v>
      </c>
      <c r="J104" t="s">
        <v>1650</v>
      </c>
    </row>
    <row r="105" spans="1:10" x14ac:dyDescent="0.2">
      <c r="A105">
        <v>0</v>
      </c>
      <c r="B105">
        <v>2.36343454204486E-4</v>
      </c>
      <c r="C105">
        <v>7</v>
      </c>
      <c r="D105">
        <v>7</v>
      </c>
      <c r="E105" t="s">
        <v>1310</v>
      </c>
      <c r="F105" t="s">
        <v>1311</v>
      </c>
      <c r="G105">
        <v>2.2222222222222201E-3</v>
      </c>
      <c r="H105" t="s">
        <v>42</v>
      </c>
      <c r="I105" t="s">
        <v>1186</v>
      </c>
      <c r="J105" t="s">
        <v>1650</v>
      </c>
    </row>
    <row r="106" spans="1:10" x14ac:dyDescent="0.2">
      <c r="A106">
        <v>0</v>
      </c>
      <c r="B106">
        <v>9.1292065199112205E-6</v>
      </c>
      <c r="C106">
        <v>3</v>
      </c>
      <c r="D106">
        <v>7</v>
      </c>
      <c r="E106" t="s">
        <v>1312</v>
      </c>
      <c r="F106" t="s">
        <v>1313</v>
      </c>
      <c r="G106">
        <v>0</v>
      </c>
      <c r="H106" t="s">
        <v>42</v>
      </c>
      <c r="I106" t="s">
        <v>1186</v>
      </c>
      <c r="J106" t="s">
        <v>1650</v>
      </c>
    </row>
    <row r="107" spans="1:10" x14ac:dyDescent="0.2">
      <c r="A107">
        <v>0</v>
      </c>
      <c r="B107">
        <v>1.3536531293854299E-5</v>
      </c>
      <c r="C107">
        <v>3</v>
      </c>
      <c r="D107">
        <v>5</v>
      </c>
      <c r="E107" t="s">
        <v>1314</v>
      </c>
      <c r="F107" t="s">
        <v>1315</v>
      </c>
      <c r="G107">
        <v>0</v>
      </c>
      <c r="H107" t="s">
        <v>42</v>
      </c>
      <c r="I107" t="s">
        <v>1186</v>
      </c>
      <c r="J107" t="s">
        <v>1650</v>
      </c>
    </row>
    <row r="108" spans="1:10" x14ac:dyDescent="0.2">
      <c r="A108">
        <v>0</v>
      </c>
      <c r="B108">
        <v>3.2202213018394903E-5</v>
      </c>
      <c r="C108">
        <v>2</v>
      </c>
      <c r="D108">
        <v>431</v>
      </c>
      <c r="E108" t="s">
        <v>308</v>
      </c>
      <c r="F108" t="s">
        <v>309</v>
      </c>
      <c r="G108">
        <v>0</v>
      </c>
      <c r="H108" t="s">
        <v>42</v>
      </c>
      <c r="I108" t="s">
        <v>1186</v>
      </c>
      <c r="J108" t="s">
        <v>1650</v>
      </c>
    </row>
    <row r="109" spans="1:10" x14ac:dyDescent="0.2">
      <c r="A109">
        <v>0</v>
      </c>
      <c r="B109">
        <v>1.02802806911386E-4</v>
      </c>
      <c r="C109">
        <v>2</v>
      </c>
      <c r="D109">
        <v>140</v>
      </c>
      <c r="E109" t="s">
        <v>1316</v>
      </c>
      <c r="F109" t="s">
        <v>1317</v>
      </c>
      <c r="G109">
        <v>0</v>
      </c>
      <c r="H109" t="s">
        <v>1184</v>
      </c>
      <c r="I109" t="s">
        <v>1186</v>
      </c>
      <c r="J109" t="s">
        <v>1650</v>
      </c>
    </row>
    <row r="110" spans="1:10" x14ac:dyDescent="0.2">
      <c r="A110">
        <v>0</v>
      </c>
      <c r="B110">
        <v>4.7600400306563101E-4</v>
      </c>
      <c r="C110">
        <v>2</v>
      </c>
      <c r="D110">
        <v>34</v>
      </c>
      <c r="E110" t="s">
        <v>1318</v>
      </c>
      <c r="F110" t="s">
        <v>1319</v>
      </c>
      <c r="G110">
        <v>3.3333333333333298E-2</v>
      </c>
      <c r="H110" t="s">
        <v>1184</v>
      </c>
      <c r="I110" t="s">
        <v>1186</v>
      </c>
      <c r="J110" t="s">
        <v>1650</v>
      </c>
    </row>
    <row r="111" spans="1:10" x14ac:dyDescent="0.2">
      <c r="A111">
        <v>0</v>
      </c>
      <c r="B111">
        <v>1.6914577351430202E-5</v>
      </c>
      <c r="C111">
        <v>2</v>
      </c>
      <c r="D111">
        <v>311</v>
      </c>
      <c r="E111" t="s">
        <v>1320</v>
      </c>
      <c r="F111" t="s">
        <v>1321</v>
      </c>
      <c r="G111">
        <v>0</v>
      </c>
      <c r="H111" t="s">
        <v>1184</v>
      </c>
      <c r="I111" t="s">
        <v>1186</v>
      </c>
      <c r="J111" t="s">
        <v>1650</v>
      </c>
    </row>
    <row r="112" spans="1:10" x14ac:dyDescent="0.2">
      <c r="A112">
        <v>0</v>
      </c>
      <c r="B112">
        <v>1.73254580275178E-4</v>
      </c>
      <c r="C112">
        <v>2</v>
      </c>
      <c r="D112">
        <v>46</v>
      </c>
      <c r="E112" t="s">
        <v>1322</v>
      </c>
      <c r="F112" t="s">
        <v>1323</v>
      </c>
      <c r="G112">
        <v>0</v>
      </c>
      <c r="H112" t="s">
        <v>1184</v>
      </c>
      <c r="I112" t="s">
        <v>1186</v>
      </c>
      <c r="J112" t="s">
        <v>1650</v>
      </c>
    </row>
    <row r="113" spans="1:10" x14ac:dyDescent="0.2">
      <c r="A113">
        <v>0</v>
      </c>
      <c r="B113">
        <v>1.37633598879734E-6</v>
      </c>
      <c r="C113">
        <v>2</v>
      </c>
      <c r="D113">
        <v>24</v>
      </c>
      <c r="E113" t="s">
        <v>1324</v>
      </c>
      <c r="F113" t="s">
        <v>1325</v>
      </c>
      <c r="G113">
        <v>0</v>
      </c>
      <c r="H113" t="s">
        <v>1184</v>
      </c>
      <c r="I113" t="s">
        <v>1186</v>
      </c>
      <c r="J113" t="s">
        <v>1650</v>
      </c>
    </row>
    <row r="114" spans="1:10" x14ac:dyDescent="0.2">
      <c r="A114">
        <v>0</v>
      </c>
      <c r="B114">
        <v>1.9153086201474201E-4</v>
      </c>
      <c r="C114">
        <v>6</v>
      </c>
      <c r="D114">
        <v>10</v>
      </c>
      <c r="E114" t="s">
        <v>1326</v>
      </c>
      <c r="F114" t="s">
        <v>1327</v>
      </c>
      <c r="G114">
        <v>0.01</v>
      </c>
      <c r="H114" t="s">
        <v>1184</v>
      </c>
      <c r="I114" t="s">
        <v>1186</v>
      </c>
      <c r="J114" t="s">
        <v>1650</v>
      </c>
    </row>
    <row r="115" spans="1:10" x14ac:dyDescent="0.2">
      <c r="A115">
        <v>0</v>
      </c>
      <c r="B115">
        <v>9.90685440777622E-7</v>
      </c>
      <c r="C115">
        <v>5</v>
      </c>
      <c r="D115">
        <v>132</v>
      </c>
      <c r="E115" t="s">
        <v>1328</v>
      </c>
      <c r="F115" t="s">
        <v>1329</v>
      </c>
      <c r="G115">
        <v>0</v>
      </c>
      <c r="H115" t="s">
        <v>1185</v>
      </c>
      <c r="I115" t="s">
        <v>1186</v>
      </c>
      <c r="J115" t="s">
        <v>1669</v>
      </c>
    </row>
    <row r="116" spans="1:10" x14ac:dyDescent="0.2">
      <c r="A116">
        <v>0</v>
      </c>
      <c r="B116">
        <v>1.40460147845281E-3</v>
      </c>
      <c r="C116">
        <v>3</v>
      </c>
      <c r="D116">
        <v>364</v>
      </c>
      <c r="E116" t="s">
        <v>1330</v>
      </c>
      <c r="F116" t="s">
        <v>1331</v>
      </c>
      <c r="G116">
        <v>3.5000000000000003E-2</v>
      </c>
      <c r="H116" t="s">
        <v>1185</v>
      </c>
      <c r="I116" t="s">
        <v>1186</v>
      </c>
      <c r="J116" t="s">
        <v>1650</v>
      </c>
    </row>
    <row r="117" spans="1:10" x14ac:dyDescent="0.2">
      <c r="A117">
        <v>0</v>
      </c>
      <c r="B117">
        <v>8.0964150646453502E-5</v>
      </c>
      <c r="C117">
        <v>2</v>
      </c>
      <c r="D117">
        <v>29</v>
      </c>
      <c r="E117" t="s">
        <v>1332</v>
      </c>
      <c r="F117" t="s">
        <v>1333</v>
      </c>
      <c r="G117">
        <v>0</v>
      </c>
      <c r="H117" t="s">
        <v>1185</v>
      </c>
      <c r="I117" t="s">
        <v>1186</v>
      </c>
      <c r="J117" t="s">
        <v>1650</v>
      </c>
    </row>
    <row r="118" spans="1:10" x14ac:dyDescent="0.2">
      <c r="A118">
        <v>0</v>
      </c>
      <c r="B118">
        <v>1.90536989658287E-5</v>
      </c>
      <c r="C118">
        <v>2</v>
      </c>
      <c r="D118">
        <v>150</v>
      </c>
      <c r="E118" t="s">
        <v>1334</v>
      </c>
      <c r="F118" t="s">
        <v>1335</v>
      </c>
      <c r="G118">
        <v>0</v>
      </c>
      <c r="H118" t="s">
        <v>1185</v>
      </c>
      <c r="I118" t="s">
        <v>1186</v>
      </c>
      <c r="J118" t="s">
        <v>1650</v>
      </c>
    </row>
    <row r="119" spans="1:10" x14ac:dyDescent="0.2">
      <c r="A119">
        <v>0</v>
      </c>
      <c r="B119">
        <v>4.99898481972337E-5</v>
      </c>
      <c r="C119">
        <v>2</v>
      </c>
      <c r="D119">
        <v>616</v>
      </c>
      <c r="E119" t="s">
        <v>1336</v>
      </c>
      <c r="F119" t="s">
        <v>1337</v>
      </c>
      <c r="G119">
        <v>0</v>
      </c>
      <c r="H119" t="s">
        <v>1185</v>
      </c>
      <c r="I119" t="s">
        <v>1186</v>
      </c>
      <c r="J119" t="s">
        <v>1668</v>
      </c>
    </row>
    <row r="120" spans="1:10" x14ac:dyDescent="0.2">
      <c r="A120">
        <v>0</v>
      </c>
      <c r="B120">
        <v>3.10503596826084E-4</v>
      </c>
      <c r="C120">
        <v>3</v>
      </c>
      <c r="D120">
        <v>274</v>
      </c>
      <c r="E120" t="s">
        <v>1338</v>
      </c>
      <c r="F120" t="s">
        <v>1339</v>
      </c>
      <c r="G120">
        <v>0</v>
      </c>
      <c r="H120" t="s">
        <v>1185</v>
      </c>
      <c r="I120" t="s">
        <v>1186</v>
      </c>
      <c r="J120" t="s">
        <v>1650</v>
      </c>
    </row>
    <row r="121" spans="1:10" x14ac:dyDescent="0.2">
      <c r="A121">
        <v>0</v>
      </c>
      <c r="B121">
        <v>4.12435082545798E-4</v>
      </c>
      <c r="C121">
        <v>4</v>
      </c>
      <c r="D121">
        <v>34</v>
      </c>
      <c r="E121" t="s">
        <v>1340</v>
      </c>
      <c r="F121" t="s">
        <v>1341</v>
      </c>
      <c r="G121">
        <v>7.14285714285714E-3</v>
      </c>
      <c r="H121" t="s">
        <v>1185</v>
      </c>
      <c r="I121" t="s">
        <v>1186</v>
      </c>
      <c r="J121" t="s">
        <v>1650</v>
      </c>
    </row>
    <row r="122" spans="1:10" x14ac:dyDescent="0.2">
      <c r="A122">
        <v>0</v>
      </c>
      <c r="B122">
        <v>1.0743929430963E-3</v>
      </c>
      <c r="C122">
        <v>2</v>
      </c>
      <c r="D122">
        <v>22</v>
      </c>
      <c r="E122" t="s">
        <v>1342</v>
      </c>
      <c r="F122" t="s">
        <v>1343</v>
      </c>
      <c r="G122">
        <v>3.7499999999999999E-2</v>
      </c>
      <c r="H122" t="s">
        <v>1185</v>
      </c>
      <c r="I122" t="s">
        <v>1186</v>
      </c>
      <c r="J122" t="s">
        <v>1650</v>
      </c>
    </row>
    <row r="123" spans="1:10" x14ac:dyDescent="0.2">
      <c r="A123">
        <v>0</v>
      </c>
      <c r="B123">
        <v>1.1124300830860399E-5</v>
      </c>
      <c r="C123">
        <v>2</v>
      </c>
      <c r="D123">
        <v>91</v>
      </c>
      <c r="E123" t="s">
        <v>1344</v>
      </c>
      <c r="F123" t="s">
        <v>1345</v>
      </c>
      <c r="G123">
        <v>0</v>
      </c>
      <c r="H123" t="s">
        <v>1185</v>
      </c>
      <c r="I123" t="s">
        <v>1186</v>
      </c>
      <c r="J123" t="s">
        <v>1650</v>
      </c>
    </row>
    <row r="124" spans="1:10" x14ac:dyDescent="0.2">
      <c r="A124">
        <v>0</v>
      </c>
      <c r="B124">
        <v>1.19523026994441E-3</v>
      </c>
      <c r="C124">
        <v>2</v>
      </c>
      <c r="D124">
        <v>185</v>
      </c>
      <c r="E124" t="s">
        <v>1346</v>
      </c>
      <c r="F124" t="s">
        <v>1347</v>
      </c>
      <c r="G124">
        <v>3.8888888888888903E-2</v>
      </c>
      <c r="H124" t="s">
        <v>1185</v>
      </c>
      <c r="I124" t="s">
        <v>1186</v>
      </c>
      <c r="J124" t="s">
        <v>1650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19F7D-6E7E-C24E-A90D-EDA1E2087046}">
  <sheetPr codeName="Sheet8"/>
  <dimension ref="A1:J28"/>
  <sheetViews>
    <sheetView workbookViewId="0">
      <selection activeCell="F18" sqref="F18"/>
    </sheetView>
  </sheetViews>
  <sheetFormatPr baseColWidth="10" defaultRowHeight="16" x14ac:dyDescent="0.2"/>
  <cols>
    <col min="5" max="5" width="10.83203125" customWidth="1"/>
  </cols>
  <sheetData>
    <row r="1" spans="1:10" x14ac:dyDescent="0.2">
      <c r="A1" t="s">
        <v>1011</v>
      </c>
    </row>
    <row r="2" spans="1:10" x14ac:dyDescent="0.2">
      <c r="A2" t="s">
        <v>45</v>
      </c>
    </row>
    <row r="3" spans="1:10" x14ac:dyDescent="0.2">
      <c r="A3" t="s">
        <v>46</v>
      </c>
    </row>
    <row r="4" spans="1:10" x14ac:dyDescent="0.2">
      <c r="A4" t="s">
        <v>47</v>
      </c>
    </row>
    <row r="5" spans="1:10" x14ac:dyDescent="0.2">
      <c r="A5" t="s">
        <v>48</v>
      </c>
    </row>
    <row r="6" spans="1:10" x14ac:dyDescent="0.2">
      <c r="A6" t="s">
        <v>49</v>
      </c>
    </row>
    <row r="7" spans="1:10" x14ac:dyDescent="0.2">
      <c r="A7" t="s">
        <v>44</v>
      </c>
    </row>
    <row r="8" spans="1:10" x14ac:dyDescent="0.2">
      <c r="A8" t="s">
        <v>43</v>
      </c>
    </row>
    <row r="9" spans="1:10" x14ac:dyDescent="0.2">
      <c r="A9" t="s">
        <v>52</v>
      </c>
    </row>
    <row r="10" spans="1:10" ht="17" thickBot="1" x14ac:dyDescent="0.25">
      <c r="A10" t="s">
        <v>1661</v>
      </c>
    </row>
    <row r="11" spans="1:10" ht="17" thickBot="1" x14ac:dyDescent="0.25">
      <c r="A11" s="2" t="s">
        <v>0</v>
      </c>
      <c r="B11" s="2" t="s">
        <v>1</v>
      </c>
      <c r="C11" s="2" t="s">
        <v>2</v>
      </c>
      <c r="D11" s="2" t="s">
        <v>3</v>
      </c>
      <c r="E11" s="2" t="s">
        <v>4</v>
      </c>
      <c r="F11" s="2" t="s">
        <v>5</v>
      </c>
      <c r="G11" s="2" t="s">
        <v>6</v>
      </c>
      <c r="H11" s="2" t="s">
        <v>41</v>
      </c>
      <c r="I11" s="2" t="s">
        <v>50</v>
      </c>
      <c r="J11" s="11" t="s">
        <v>1647</v>
      </c>
    </row>
    <row r="12" spans="1:10" x14ac:dyDescent="0.2">
      <c r="A12">
        <v>0</v>
      </c>
      <c r="B12">
        <v>1.7775416577542401E-5</v>
      </c>
      <c r="C12">
        <v>3</v>
      </c>
      <c r="D12">
        <v>14</v>
      </c>
      <c r="E12" t="s">
        <v>1012</v>
      </c>
      <c r="F12" t="s">
        <v>1013</v>
      </c>
      <c r="G12">
        <v>2.0370574796304101E-2</v>
      </c>
      <c r="H12" t="s">
        <v>42</v>
      </c>
      <c r="I12" t="s">
        <v>337</v>
      </c>
      <c r="J12" t="s">
        <v>1665</v>
      </c>
    </row>
    <row r="13" spans="1:10" x14ac:dyDescent="0.2">
      <c r="A13">
        <v>0</v>
      </c>
      <c r="B13" s="1">
        <v>1.72969058995139E-5</v>
      </c>
      <c r="C13">
        <v>2</v>
      </c>
      <c r="D13">
        <v>1105</v>
      </c>
      <c r="E13" t="s">
        <v>621</v>
      </c>
      <c r="F13" t="s">
        <v>622</v>
      </c>
      <c r="G13">
        <v>2.0370574796304101E-2</v>
      </c>
      <c r="H13" t="s">
        <v>42</v>
      </c>
      <c r="I13" t="s">
        <v>337</v>
      </c>
      <c r="J13" t="s">
        <v>1652</v>
      </c>
    </row>
    <row r="14" spans="1:10" x14ac:dyDescent="0.2">
      <c r="A14">
        <v>0</v>
      </c>
      <c r="B14" s="1">
        <v>1.8131498626149101E-5</v>
      </c>
      <c r="C14">
        <v>4</v>
      </c>
      <c r="D14">
        <v>86</v>
      </c>
      <c r="E14" t="s">
        <v>1014</v>
      </c>
      <c r="F14" t="s">
        <v>1015</v>
      </c>
      <c r="G14">
        <v>2.0370574796304101E-2</v>
      </c>
      <c r="H14" t="s">
        <v>42</v>
      </c>
      <c r="I14" t="s">
        <v>337</v>
      </c>
      <c r="J14" t="s">
        <v>1666</v>
      </c>
    </row>
    <row r="15" spans="1:10" x14ac:dyDescent="0.2">
      <c r="A15">
        <v>0</v>
      </c>
      <c r="B15" s="1">
        <v>1.8384409734465E-6</v>
      </c>
      <c r="C15">
        <v>6</v>
      </c>
      <c r="D15">
        <v>24</v>
      </c>
      <c r="E15" t="s">
        <v>1016</v>
      </c>
      <c r="F15" t="s">
        <v>1017</v>
      </c>
      <c r="G15">
        <v>9.0010070059940595E-3</v>
      </c>
      <c r="H15" t="s">
        <v>42</v>
      </c>
      <c r="I15" t="s">
        <v>337</v>
      </c>
      <c r="J15" t="s">
        <v>1666</v>
      </c>
    </row>
    <row r="16" spans="1:10" x14ac:dyDescent="0.2">
      <c r="A16">
        <v>0</v>
      </c>
      <c r="B16" s="1">
        <v>4.6678161351434298E-5</v>
      </c>
      <c r="C16">
        <v>3</v>
      </c>
      <c r="D16">
        <v>19</v>
      </c>
      <c r="E16" t="s">
        <v>1018</v>
      </c>
      <c r="F16" t="s">
        <v>1019</v>
      </c>
      <c r="G16">
        <v>3.2648039710946E-2</v>
      </c>
      <c r="H16" t="s">
        <v>42</v>
      </c>
      <c r="I16" t="s">
        <v>337</v>
      </c>
      <c r="J16" t="s">
        <v>1665</v>
      </c>
    </row>
    <row r="17" spans="1:10" x14ac:dyDescent="0.2">
      <c r="A17">
        <v>0</v>
      </c>
      <c r="B17" s="1">
        <v>4.529954833247E-5</v>
      </c>
      <c r="C17">
        <v>2</v>
      </c>
      <c r="D17">
        <v>443</v>
      </c>
      <c r="E17" t="s">
        <v>1020</v>
      </c>
      <c r="F17" t="s">
        <v>1021</v>
      </c>
      <c r="G17">
        <v>3.2648039710946E-2</v>
      </c>
      <c r="H17" t="s">
        <v>42</v>
      </c>
      <c r="I17" t="s">
        <v>337</v>
      </c>
      <c r="J17" t="s">
        <v>1650</v>
      </c>
    </row>
    <row r="18" spans="1:10" x14ac:dyDescent="0.2">
      <c r="A18">
        <v>0</v>
      </c>
      <c r="B18" s="1">
        <v>2.0803283084460899E-5</v>
      </c>
      <c r="C18">
        <v>2</v>
      </c>
      <c r="D18">
        <v>504</v>
      </c>
      <c r="E18" t="s">
        <v>1022</v>
      </c>
      <c r="F18" t="s">
        <v>1023</v>
      </c>
      <c r="G18">
        <v>2.0370574796304101E-2</v>
      </c>
      <c r="H18" t="s">
        <v>42</v>
      </c>
      <c r="I18" t="s">
        <v>337</v>
      </c>
      <c r="J18" t="s">
        <v>1652</v>
      </c>
    </row>
    <row r="19" spans="1:10" x14ac:dyDescent="0.2">
      <c r="B19" s="1"/>
    </row>
    <row r="20" spans="1:10" x14ac:dyDescent="0.2">
      <c r="B20" s="1"/>
    </row>
    <row r="23" spans="1:10" x14ac:dyDescent="0.2">
      <c r="B23" s="1"/>
    </row>
    <row r="24" spans="1:10" x14ac:dyDescent="0.2">
      <c r="B24" s="1"/>
    </row>
    <row r="25" spans="1:10" x14ac:dyDescent="0.2">
      <c r="B25" s="1"/>
    </row>
    <row r="26" spans="1:10" x14ac:dyDescent="0.2">
      <c r="B26" s="1"/>
    </row>
    <row r="27" spans="1:10" x14ac:dyDescent="0.2">
      <c r="B27" s="1"/>
    </row>
    <row r="28" spans="1:10" x14ac:dyDescent="0.2">
      <c r="B2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Supplementary Tables</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Mu-Han</dc:creator>
  <cp:lastModifiedBy>Chen, Mu-Han</cp:lastModifiedBy>
  <dcterms:created xsi:type="dcterms:W3CDTF">2025-07-01T17:24:45Z</dcterms:created>
  <dcterms:modified xsi:type="dcterms:W3CDTF">2026-05-14T17:55:25Z</dcterms:modified>
</cp:coreProperties>
</file>